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af8ba108afe3784/MS-CB/ANGSD/Project/files/"/>
    </mc:Choice>
  </mc:AlternateContent>
  <xr:revisionPtr revIDLastSave="220" documentId="13_ncr:40009_{A348320F-884A-499D-BB8D-D09933E004A1}" xr6:coauthVersionLast="44" xr6:coauthVersionMax="44" xr10:uidLastSave="{A3053314-6C1C-437A-8318-4EB0E2FFFFD6}"/>
  <bookViews>
    <workbookView xWindow="-96" yWindow="-96" windowWidth="23232" windowHeight="12552" xr2:uid="{00000000-000D-0000-FFFF-FFFF00000000}"/>
  </bookViews>
  <sheets>
    <sheet name="Summary" sheetId="3" r:id="rId1"/>
    <sheet name="Backup_v02" sheetId="1" r:id="rId2"/>
    <sheet name="Github" sheetId="2" r:id="rId3"/>
  </sheets>
  <definedNames>
    <definedName name="_xlnm._FilterDatabase" localSheetId="1" hidden="1">Backup_v02!#REF!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41" i="3" l="1"/>
  <c r="AJ40" i="3"/>
  <c r="AJ39" i="3"/>
  <c r="AJ38" i="3"/>
  <c r="AJ37" i="3"/>
  <c r="AJ36" i="3"/>
  <c r="AJ35" i="3"/>
  <c r="AJ30" i="3"/>
  <c r="AJ31" i="3"/>
  <c r="AJ32" i="3"/>
  <c r="AJ33" i="3"/>
  <c r="AJ34" i="3"/>
  <c r="R5" i="3"/>
  <c r="S5" i="3"/>
  <c r="Q5" i="3"/>
  <c r="P5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7" i="3"/>
  <c r="R38" i="3"/>
  <c r="R26" i="3"/>
  <c r="R14" i="3"/>
  <c r="R39" i="3"/>
  <c r="R37" i="3"/>
  <c r="R25" i="3"/>
  <c r="R13" i="3"/>
  <c r="R36" i="3"/>
  <c r="R24" i="3"/>
  <c r="R12" i="3"/>
  <c r="R35" i="3"/>
  <c r="R23" i="3"/>
  <c r="R11" i="3"/>
  <c r="R41" i="3"/>
  <c r="R16" i="3"/>
  <c r="R15" i="3"/>
  <c r="R34" i="3"/>
  <c r="R22" i="3"/>
  <c r="R10" i="3"/>
  <c r="R33" i="3"/>
  <c r="R21" i="3"/>
  <c r="R9" i="3"/>
  <c r="R29" i="3"/>
  <c r="R40" i="3"/>
  <c r="R32" i="3"/>
  <c r="R20" i="3"/>
  <c r="R8" i="3"/>
  <c r="R31" i="3"/>
  <c r="R19" i="3"/>
  <c r="R7" i="3"/>
  <c r="R42" i="3"/>
  <c r="R30" i="3"/>
  <c r="R18" i="3"/>
  <c r="R17" i="3"/>
  <c r="R28" i="3"/>
  <c r="R27" i="3"/>
  <c r="S42" i="3"/>
  <c r="S30" i="3"/>
  <c r="S18" i="3"/>
  <c r="S41" i="3"/>
  <c r="S29" i="3"/>
  <c r="S17" i="3"/>
  <c r="S40" i="3"/>
  <c r="S28" i="3"/>
  <c r="S27" i="3"/>
  <c r="S38" i="3"/>
  <c r="S26" i="3"/>
  <c r="S14" i="3"/>
  <c r="S11" i="3"/>
  <c r="S10" i="3"/>
  <c r="S9" i="3"/>
  <c r="S7" i="3"/>
  <c r="S37" i="3"/>
  <c r="S25" i="3"/>
  <c r="S13" i="3"/>
  <c r="S23" i="3"/>
  <c r="S22" i="3"/>
  <c r="S21" i="3"/>
  <c r="S19" i="3"/>
  <c r="S15" i="3"/>
  <c r="S36" i="3"/>
  <c r="S24" i="3"/>
  <c r="S12" i="3"/>
  <c r="S35" i="3"/>
  <c r="S34" i="3"/>
  <c r="S33" i="3"/>
  <c r="S16" i="3"/>
  <c r="S32" i="3"/>
  <c r="S20" i="3"/>
  <c r="S8" i="3"/>
  <c r="S31" i="3"/>
  <c r="S39" i="3"/>
  <c r="Q42" i="3"/>
  <c r="Q38" i="3"/>
  <c r="Q26" i="3"/>
  <c r="Q14" i="3"/>
  <c r="Q37" i="3"/>
  <c r="Q25" i="3"/>
  <c r="Q13" i="3"/>
  <c r="Q34" i="3"/>
  <c r="Q30" i="3"/>
  <c r="Q40" i="3"/>
  <c r="Q27" i="3"/>
  <c r="Q36" i="3"/>
  <c r="Q24" i="3"/>
  <c r="Q12" i="3"/>
  <c r="Q22" i="3"/>
  <c r="Q29" i="3"/>
  <c r="Q39" i="3"/>
  <c r="Q35" i="3"/>
  <c r="Q23" i="3"/>
  <c r="Q11" i="3"/>
  <c r="Q10" i="3"/>
  <c r="Q7" i="3"/>
  <c r="Q17" i="3"/>
  <c r="Q28" i="3"/>
  <c r="Q18" i="3"/>
  <c r="Q33" i="3"/>
  <c r="Q21" i="3"/>
  <c r="Q9" i="3"/>
  <c r="Q32" i="3"/>
  <c r="Q20" i="3"/>
  <c r="Q8" i="3"/>
  <c r="Q31" i="3"/>
  <c r="Q19" i="3"/>
  <c r="Q41" i="3"/>
  <c r="Q16" i="3"/>
  <c r="Q15" i="3"/>
  <c r="P12" i="3"/>
  <c r="P24" i="3"/>
  <c r="P36" i="3"/>
  <c r="P37" i="3"/>
  <c r="P26" i="3"/>
  <c r="P15" i="3"/>
  <c r="P39" i="3"/>
  <c r="P28" i="3"/>
  <c r="P40" i="3"/>
  <c r="P29" i="3"/>
  <c r="P20" i="3"/>
  <c r="P32" i="3"/>
  <c r="P21" i="3"/>
  <c r="P10" i="3"/>
  <c r="P22" i="3"/>
  <c r="P11" i="3"/>
  <c r="P23" i="3"/>
  <c r="P13" i="3"/>
  <c r="P25" i="3"/>
  <c r="P14" i="3"/>
  <c r="P38" i="3"/>
  <c r="P27" i="3"/>
  <c r="P16" i="3"/>
  <c r="P17" i="3"/>
  <c r="P41" i="3"/>
  <c r="P9" i="3"/>
  <c r="P33" i="3"/>
  <c r="P34" i="3"/>
  <c r="P35" i="3"/>
  <c r="P18" i="3"/>
  <c r="P30" i="3"/>
  <c r="P42" i="3"/>
  <c r="P19" i="3"/>
  <c r="P31" i="3"/>
  <c r="P8" i="3"/>
  <c r="P7" i="3"/>
  <c r="AJ8" i="3" l="1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7" i="3"/>
  <c r="Y8" i="3" l="1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" i="3"/>
  <c r="C4" i="3"/>
  <c r="AE21" i="3"/>
  <c r="AE43" i="3"/>
  <c r="AE18" i="3"/>
  <c r="AE65" i="3"/>
  <c r="AE53" i="3"/>
  <c r="AE41" i="3"/>
  <c r="AE29" i="3"/>
  <c r="AE17" i="3"/>
  <c r="AE51" i="3"/>
  <c r="AE27" i="3"/>
  <c r="AE62" i="3"/>
  <c r="AE38" i="3"/>
  <c r="AE14" i="3"/>
  <c r="AE49" i="3"/>
  <c r="AE13" i="3"/>
  <c r="AE48" i="3"/>
  <c r="AE12" i="3"/>
  <c r="AE20" i="3"/>
  <c r="AE55" i="3"/>
  <c r="AE54" i="3"/>
  <c r="AE64" i="3"/>
  <c r="AE52" i="3"/>
  <c r="AE40" i="3"/>
  <c r="AE28" i="3"/>
  <c r="AE16" i="3"/>
  <c r="AE63" i="3"/>
  <c r="AE39" i="3"/>
  <c r="AE15" i="3"/>
  <c r="AE50" i="3"/>
  <c r="AE26" i="3"/>
  <c r="AE61" i="3"/>
  <c r="AE37" i="3"/>
  <c r="AE25" i="3"/>
  <c r="AE60" i="3"/>
  <c r="AE24" i="3"/>
  <c r="AE44" i="3"/>
  <c r="AE8" i="3"/>
  <c r="AE31" i="3"/>
  <c r="AE42" i="3"/>
  <c r="AE36" i="3"/>
  <c r="AE19" i="3"/>
  <c r="AE30" i="3"/>
  <c r="AE59" i="3"/>
  <c r="AE47" i="3"/>
  <c r="AE35" i="3"/>
  <c r="AE23" i="3"/>
  <c r="AE11" i="3"/>
  <c r="AE58" i="3"/>
  <c r="AE46" i="3"/>
  <c r="AE34" i="3"/>
  <c r="AE22" i="3"/>
  <c r="AE10" i="3"/>
  <c r="AE69" i="3"/>
  <c r="AE57" i="3"/>
  <c r="AE45" i="3"/>
  <c r="AE33" i="3"/>
  <c r="AE9" i="3"/>
  <c r="AE68" i="3"/>
  <c r="AE56" i="3"/>
  <c r="AE32" i="3"/>
  <c r="AE67" i="3"/>
  <c r="AE66" i="3"/>
  <c r="AE7" i="3"/>
  <c r="AF66" i="3" l="1"/>
  <c r="AF67" i="3"/>
  <c r="AF32" i="3"/>
  <c r="AF56" i="3"/>
  <c r="AF68" i="3"/>
  <c r="AF33" i="3"/>
  <c r="AF45" i="3"/>
  <c r="AF57" i="3"/>
  <c r="AF69" i="3"/>
  <c r="AF22" i="3"/>
  <c r="AF34" i="3"/>
  <c r="AF46" i="3"/>
  <c r="AF58" i="3"/>
  <c r="AF23" i="3"/>
  <c r="AF35" i="3"/>
  <c r="AF47" i="3"/>
  <c r="AF59" i="3"/>
  <c r="AF30" i="3"/>
  <c r="AF19" i="3"/>
  <c r="AF36" i="3"/>
  <c r="AF42" i="3"/>
  <c r="AF31" i="3"/>
  <c r="AF44" i="3"/>
  <c r="AF24" i="3"/>
  <c r="AF60" i="3"/>
  <c r="AF25" i="3"/>
  <c r="AF37" i="3"/>
  <c r="AF61" i="3"/>
  <c r="AF26" i="3"/>
  <c r="AF50" i="3"/>
  <c r="AF15" i="3"/>
  <c r="AF39" i="3"/>
  <c r="AF63" i="3"/>
  <c r="AF16" i="3"/>
  <c r="AF28" i="3"/>
  <c r="AF40" i="3"/>
  <c r="AF52" i="3"/>
  <c r="AF64" i="3"/>
  <c r="AF54" i="3"/>
  <c r="AF55" i="3"/>
  <c r="AF20" i="3"/>
  <c r="AF12" i="3"/>
  <c r="AF48" i="3"/>
  <c r="AF13" i="3"/>
  <c r="AF49" i="3"/>
  <c r="AF14" i="3"/>
  <c r="AF38" i="3"/>
  <c r="AF62" i="3"/>
  <c r="AF27" i="3"/>
  <c r="AF51" i="3"/>
  <c r="AF17" i="3"/>
  <c r="AF29" i="3"/>
  <c r="AF41" i="3"/>
  <c r="AF53" i="3"/>
  <c r="AF65" i="3"/>
  <c r="AF18" i="3"/>
  <c r="AF43" i="3"/>
  <c r="AF21" i="3"/>
  <c r="AF11" i="3"/>
  <c r="AF10" i="3"/>
  <c r="AF9" i="3"/>
  <c r="AF8" i="3"/>
  <c r="AF7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7" i="3"/>
  <c r="AG4" i="3" l="1"/>
  <c r="AG2" i="3"/>
  <c r="AG3" i="3"/>
  <c r="V7" i="3"/>
  <c r="U8" i="3"/>
  <c r="U9" i="3" s="1"/>
  <c r="H9" i="3"/>
  <c r="H7" i="3"/>
  <c r="C3" i="3"/>
  <c r="C176" i="3"/>
  <c r="C174" i="3"/>
  <c r="C173" i="3"/>
  <c r="C172" i="3"/>
  <c r="C171" i="3"/>
  <c r="C170" i="3"/>
  <c r="C2" i="3"/>
  <c r="C161" i="3"/>
  <c r="C159" i="3"/>
  <c r="C157" i="3"/>
  <c r="C154" i="3"/>
  <c r="C152" i="3"/>
  <c r="C150" i="3"/>
  <c r="C148" i="3"/>
  <c r="C146" i="3"/>
  <c r="C144" i="3"/>
  <c r="C142" i="3"/>
  <c r="C140" i="3"/>
  <c r="C138" i="3"/>
  <c r="C136" i="3"/>
  <c r="C133" i="3"/>
  <c r="C131" i="3"/>
  <c r="C129" i="3"/>
  <c r="C127" i="3"/>
  <c r="C125" i="3"/>
  <c r="C123" i="3"/>
  <c r="C121" i="3"/>
  <c r="C119" i="3"/>
  <c r="C117" i="3"/>
  <c r="C115" i="3"/>
  <c r="C112" i="3"/>
  <c r="C110" i="3"/>
  <c r="C108" i="3"/>
  <c r="C106" i="3"/>
  <c r="C104" i="3"/>
  <c r="C102" i="3"/>
  <c r="C100" i="3"/>
  <c r="C98" i="3"/>
  <c r="C96" i="3"/>
  <c r="C94" i="3"/>
  <c r="C91" i="3"/>
  <c r="C89" i="3"/>
  <c r="C87" i="3"/>
  <c r="C86" i="3"/>
  <c r="C84" i="3"/>
  <c r="C83" i="3"/>
  <c r="C81" i="3"/>
  <c r="C79" i="3"/>
  <c r="C77" i="3"/>
  <c r="C76" i="3"/>
  <c r="C74" i="3"/>
  <c r="C72" i="3"/>
  <c r="C168" i="3"/>
  <c r="C166" i="3"/>
  <c r="C164" i="3"/>
  <c r="C163" i="3"/>
  <c r="C68" i="3"/>
  <c r="C66" i="3"/>
  <c r="C64" i="3"/>
  <c r="C62" i="3"/>
  <c r="C61" i="3"/>
  <c r="C59" i="3"/>
  <c r="C57" i="3"/>
  <c r="C55" i="3"/>
  <c r="C53" i="3"/>
  <c r="C52" i="3"/>
  <c r="C51" i="3"/>
  <c r="C49" i="3"/>
  <c r="C47" i="3"/>
  <c r="C46" i="3"/>
  <c r="C44" i="3"/>
  <c r="C42" i="3"/>
  <c r="C40" i="3"/>
  <c r="C38" i="3"/>
  <c r="C36" i="3"/>
  <c r="C34" i="3"/>
  <c r="C32" i="3"/>
  <c r="C31" i="3"/>
  <c r="C29" i="3"/>
  <c r="C28" i="3"/>
  <c r="C26" i="3"/>
  <c r="C24" i="3"/>
  <c r="C22" i="3"/>
  <c r="C20" i="3"/>
  <c r="C19" i="3"/>
  <c r="C17" i="3"/>
  <c r="C16" i="3"/>
  <c r="C14" i="3"/>
  <c r="C13" i="3"/>
  <c r="C11" i="3"/>
  <c r="C9" i="3"/>
  <c r="C7" i="3"/>
  <c r="C162" i="3"/>
  <c r="C160" i="3"/>
  <c r="C158" i="3"/>
  <c r="C155" i="3"/>
  <c r="C153" i="3"/>
  <c r="C151" i="3"/>
  <c r="C149" i="3"/>
  <c r="C147" i="3"/>
  <c r="C145" i="3"/>
  <c r="C143" i="3"/>
  <c r="C141" i="3"/>
  <c r="C139" i="3"/>
  <c r="C137" i="3"/>
  <c r="C134" i="3"/>
  <c r="C132" i="3"/>
  <c r="C130" i="3"/>
  <c r="C128" i="3"/>
  <c r="C126" i="3"/>
  <c r="C124" i="3"/>
  <c r="C122" i="3"/>
  <c r="C120" i="3"/>
  <c r="C118" i="3"/>
  <c r="C116" i="3"/>
  <c r="C113" i="3"/>
  <c r="C111" i="3"/>
  <c r="C109" i="3"/>
  <c r="C107" i="3"/>
  <c r="C105" i="3"/>
  <c r="C103" i="3"/>
  <c r="C101" i="3"/>
  <c r="C99" i="3"/>
  <c r="C97" i="3"/>
  <c r="C95" i="3"/>
  <c r="C92" i="3"/>
  <c r="C90" i="3"/>
  <c r="C88" i="3"/>
  <c r="C85" i="3"/>
  <c r="C82" i="3"/>
  <c r="C80" i="3"/>
  <c r="C78" i="3"/>
  <c r="C75" i="3"/>
  <c r="C73" i="3"/>
  <c r="C169" i="3"/>
  <c r="C167" i="3"/>
  <c r="C165" i="3"/>
  <c r="C156" i="3"/>
  <c r="C135" i="3"/>
  <c r="C114" i="3"/>
  <c r="C93" i="3"/>
  <c r="C71" i="3"/>
  <c r="C69" i="3"/>
  <c r="C67" i="3"/>
  <c r="C65" i="3"/>
  <c r="C63" i="3"/>
  <c r="C60" i="3"/>
  <c r="C58" i="3"/>
  <c r="C56" i="3"/>
  <c r="C54" i="3"/>
  <c r="C50" i="3"/>
  <c r="C48" i="3"/>
  <c r="C45" i="3"/>
  <c r="C43" i="3"/>
  <c r="C41" i="3"/>
  <c r="C39" i="3"/>
  <c r="C37" i="3"/>
  <c r="C35" i="3"/>
  <c r="C33" i="3"/>
  <c r="C30" i="3"/>
  <c r="C27" i="3"/>
  <c r="C25" i="3"/>
  <c r="C23" i="3"/>
  <c r="C21" i="3"/>
  <c r="C18" i="3"/>
  <c r="C15" i="3"/>
  <c r="C12" i="3"/>
  <c r="C10" i="3"/>
  <c r="C8" i="3"/>
  <c r="D129" i="3"/>
  <c r="D160" i="3"/>
  <c r="D143" i="3"/>
  <c r="D9" i="3"/>
  <c r="D58" i="3"/>
  <c r="D66" i="3"/>
  <c r="D92" i="3"/>
  <c r="D155" i="3"/>
  <c r="D68" i="3"/>
  <c r="D26" i="3"/>
  <c r="D103" i="3"/>
  <c r="D174" i="3"/>
  <c r="D97" i="3"/>
  <c r="D122" i="3"/>
  <c r="D161" i="3"/>
  <c r="D139" i="3"/>
  <c r="D104" i="3"/>
  <c r="D112" i="3"/>
  <c r="D87" i="3"/>
  <c r="D165" i="3"/>
  <c r="D106" i="3"/>
  <c r="D27" i="3"/>
  <c r="D45" i="3"/>
  <c r="D18" i="3"/>
  <c r="D80" i="3"/>
  <c r="D59" i="3"/>
  <c r="D141" i="3"/>
  <c r="D67" i="3"/>
  <c r="D46" i="3"/>
  <c r="D48" i="3"/>
  <c r="D36" i="3"/>
  <c r="D49" i="3"/>
  <c r="D133" i="3"/>
  <c r="D35" i="3"/>
  <c r="D154" i="3"/>
  <c r="D7" i="3"/>
  <c r="D169" i="3"/>
  <c r="D65" i="3"/>
  <c r="D146" i="3"/>
  <c r="D28" i="3"/>
  <c r="D100" i="3"/>
  <c r="D8" i="3"/>
  <c r="D134" i="3"/>
  <c r="D12" i="3"/>
  <c r="D40" i="3"/>
  <c r="D168" i="3"/>
  <c r="D171" i="3"/>
  <c r="D21" i="3"/>
  <c r="D11" i="3"/>
  <c r="D23" i="3"/>
  <c r="D130" i="3"/>
  <c r="D78" i="3"/>
  <c r="D13" i="3"/>
  <c r="D96" i="3"/>
  <c r="D32" i="3"/>
  <c r="D101" i="3"/>
  <c r="D55" i="3"/>
  <c r="D147" i="3"/>
  <c r="D54" i="3"/>
  <c r="D85" i="3"/>
  <c r="D117" i="3"/>
  <c r="D123" i="3"/>
  <c r="D73" i="3"/>
  <c r="D159" i="3"/>
  <c r="D51" i="3"/>
  <c r="D150" i="3"/>
  <c r="D152" i="3"/>
  <c r="D71" i="3"/>
  <c r="D24" i="3"/>
  <c r="D121" i="3"/>
  <c r="D14" i="3"/>
  <c r="D118" i="3"/>
  <c r="D156" i="3"/>
  <c r="D140" i="3"/>
  <c r="D62" i="3"/>
  <c r="D124" i="3"/>
  <c r="D170" i="3"/>
  <c r="D105" i="3"/>
  <c r="D137" i="3"/>
  <c r="D95" i="3"/>
  <c r="D60" i="3"/>
  <c r="D37" i="3"/>
  <c r="D109" i="3"/>
  <c r="D115" i="3"/>
  <c r="D99" i="3"/>
  <c r="D50" i="3"/>
  <c r="D138" i="3"/>
  <c r="D145" i="3"/>
  <c r="D42" i="3"/>
  <c r="D15" i="3"/>
  <c r="D93" i="3"/>
  <c r="D81" i="3"/>
  <c r="D61" i="3"/>
  <c r="D20" i="3"/>
  <c r="D47" i="3"/>
  <c r="D149" i="3"/>
  <c r="D69" i="3"/>
  <c r="D136" i="3"/>
  <c r="D75" i="3"/>
  <c r="D151" i="3"/>
  <c r="D43" i="3"/>
  <c r="D31" i="3"/>
  <c r="D148" i="3"/>
  <c r="D19" i="3"/>
  <c r="D107" i="3"/>
  <c r="D89" i="3"/>
  <c r="D164" i="3"/>
  <c r="D94" i="3"/>
  <c r="D44" i="3"/>
  <c r="D108" i="3"/>
  <c r="D29" i="3"/>
  <c r="D52" i="3"/>
  <c r="D119" i="3"/>
  <c r="D125" i="3"/>
  <c r="D30" i="3"/>
  <c r="D90" i="3"/>
  <c r="D38" i="3"/>
  <c r="D162" i="3"/>
  <c r="D82" i="3"/>
  <c r="D77" i="3"/>
  <c r="D127" i="3"/>
  <c r="D63" i="3"/>
  <c r="D22" i="3"/>
  <c r="D144" i="3"/>
  <c r="D83" i="3"/>
  <c r="D39" i="3"/>
  <c r="D157" i="3"/>
  <c r="D53" i="3"/>
  <c r="D114" i="3"/>
  <c r="D86" i="3"/>
  <c r="D173" i="3"/>
  <c r="D120" i="3"/>
  <c r="D91" i="3"/>
  <c r="D34" i="3"/>
  <c r="D111" i="3"/>
  <c r="D56" i="3"/>
  <c r="D57" i="3"/>
  <c r="D132" i="3"/>
  <c r="D167" i="3"/>
  <c r="D153" i="3"/>
  <c r="D163" i="3"/>
  <c r="D128" i="3"/>
  <c r="D10" i="3"/>
  <c r="D64" i="3"/>
  <c r="D135" i="3"/>
  <c r="D142" i="3"/>
  <c r="D88" i="3"/>
  <c r="D158" i="3"/>
  <c r="D172" i="3"/>
  <c r="D84" i="3"/>
  <c r="D98" i="3"/>
  <c r="D113" i="3"/>
  <c r="D72" i="3"/>
  <c r="D41" i="3"/>
  <c r="D79" i="3"/>
  <c r="D131" i="3"/>
  <c r="D76" i="3"/>
  <c r="D102" i="3"/>
  <c r="D17" i="3"/>
  <c r="D33" i="3"/>
  <c r="D176" i="3"/>
  <c r="D126" i="3"/>
  <c r="D74" i="3"/>
  <c r="D110" i="3"/>
  <c r="D25" i="3"/>
  <c r="D16" i="3"/>
  <c r="D116" i="3"/>
  <c r="D166" i="3"/>
  <c r="AD39" i="3" l="1"/>
  <c r="AD40" i="3"/>
  <c r="AD67" i="3"/>
  <c r="AD63" i="3"/>
  <c r="AD50" i="3"/>
  <c r="AD61" i="3"/>
  <c r="AD43" i="3"/>
  <c r="AD52" i="3"/>
  <c r="AD60" i="3"/>
  <c r="AD47" i="3"/>
  <c r="AD55" i="3"/>
  <c r="AD41" i="3"/>
  <c r="AD48" i="3"/>
  <c r="AD57" i="3"/>
  <c r="AD42" i="3"/>
  <c r="AD65" i="3"/>
  <c r="AD54" i="3"/>
  <c r="AD66" i="3"/>
  <c r="AD38" i="3"/>
  <c r="AD44" i="3"/>
  <c r="AD59" i="3"/>
  <c r="AD62" i="3"/>
  <c r="AD49" i="3"/>
  <c r="AD37" i="3"/>
  <c r="AD36" i="3"/>
  <c r="AD53" i="3"/>
  <c r="AD46" i="3"/>
  <c r="AD34" i="3"/>
  <c r="AD58" i="3"/>
  <c r="AD51" i="3"/>
  <c r="AD56" i="3"/>
  <c r="AD64" i="3"/>
  <c r="AD45" i="3"/>
  <c r="AD69" i="3"/>
  <c r="AD68" i="3"/>
  <c r="AD35" i="3"/>
  <c r="AD14" i="3"/>
  <c r="AD17" i="3"/>
  <c r="AD21" i="3"/>
  <c r="AD8" i="3"/>
  <c r="AD27" i="3"/>
  <c r="AD20" i="3"/>
  <c r="AD30" i="3"/>
  <c r="AD16" i="3"/>
  <c r="AD22" i="3"/>
  <c r="AD33" i="3"/>
  <c r="AD10" i="3"/>
  <c r="AD25" i="3"/>
  <c r="AD19" i="3"/>
  <c r="AD29" i="3"/>
  <c r="AD26" i="3"/>
  <c r="AD13" i="3"/>
  <c r="AD12" i="3"/>
  <c r="AD9" i="3"/>
  <c r="AD31" i="3"/>
  <c r="AD18" i="3"/>
  <c r="AD24" i="3"/>
  <c r="AD32" i="3"/>
  <c r="AD11" i="3"/>
  <c r="AD23" i="3"/>
  <c r="AD15" i="3"/>
  <c r="AD28" i="3"/>
  <c r="AD7" i="3"/>
  <c r="V9" i="3"/>
  <c r="W9" i="3" s="1"/>
  <c r="U10" i="3"/>
  <c r="V8" i="3"/>
  <c r="W8" i="3" s="1"/>
  <c r="W7" i="3"/>
  <c r="H8" i="3"/>
  <c r="E176" i="3"/>
  <c r="E74" i="3"/>
  <c r="E169" i="3"/>
  <c r="E147" i="3"/>
  <c r="E99" i="3"/>
  <c r="E167" i="3"/>
  <c r="E149" i="3"/>
  <c r="E96" i="3"/>
  <c r="E146" i="3"/>
  <c r="E151" i="3"/>
  <c r="E155" i="3"/>
  <c r="E137" i="3"/>
  <c r="E153" i="3"/>
  <c r="E79" i="3"/>
  <c r="E162" i="3"/>
  <c r="E135" i="3"/>
  <c r="E150" i="3"/>
  <c r="E75" i="3"/>
  <c r="E116" i="3"/>
  <c r="E156" i="3"/>
  <c r="E81" i="3"/>
  <c r="E106" i="3"/>
  <c r="E141" i="3"/>
  <c r="E73" i="3"/>
  <c r="E104" i="3"/>
  <c r="E76" i="3"/>
  <c r="E98" i="3"/>
  <c r="E78" i="3"/>
  <c r="E131" i="3"/>
  <c r="E84" i="3"/>
  <c r="E88" i="3"/>
  <c r="E129" i="3"/>
  <c r="E128" i="3"/>
  <c r="E90" i="3"/>
  <c r="E83" i="3"/>
  <c r="E154" i="3"/>
  <c r="E165" i="3"/>
  <c r="E100" i="3"/>
  <c r="E130" i="3"/>
  <c r="E157" i="3"/>
  <c r="E108" i="3"/>
  <c r="E139" i="3"/>
  <c r="E102" i="3"/>
  <c r="E86" i="3"/>
  <c r="E127" i="3"/>
  <c r="E161" i="3"/>
  <c r="E152" i="3"/>
  <c r="E77" i="3"/>
  <c r="E123" i="3"/>
  <c r="E148" i="3"/>
  <c r="E125" i="3"/>
  <c r="E71" i="3"/>
  <c r="E133" i="3"/>
  <c r="E80" i="3"/>
  <c r="E82" i="3"/>
  <c r="E159" i="3"/>
  <c r="E163" i="3"/>
  <c r="E164" i="3"/>
  <c r="E107" i="3"/>
  <c r="E109" i="3"/>
  <c r="E93" i="3"/>
  <c r="E110" i="3"/>
  <c r="E87" i="3"/>
  <c r="E101" i="3"/>
  <c r="E132" i="3"/>
  <c r="E134" i="3"/>
  <c r="E85" i="3"/>
  <c r="E114" i="3"/>
  <c r="E136" i="3"/>
  <c r="E112" i="3"/>
  <c r="E126" i="3"/>
  <c r="E103" i="3"/>
  <c r="E105" i="3"/>
  <c r="E158" i="3"/>
  <c r="E160" i="3"/>
  <c r="E111" i="3"/>
  <c r="E113" i="3"/>
  <c r="E138" i="3"/>
  <c r="E166" i="3"/>
  <c r="E89" i="3"/>
  <c r="E115" i="3"/>
  <c r="E118" i="3"/>
  <c r="E143" i="3"/>
  <c r="E140" i="3"/>
  <c r="E91" i="3"/>
  <c r="E117" i="3"/>
  <c r="E168" i="3"/>
  <c r="E95" i="3"/>
  <c r="E120" i="3"/>
  <c r="E145" i="3"/>
  <c r="E142" i="3"/>
  <c r="E97" i="3"/>
  <c r="E92" i="3"/>
  <c r="E72" i="3"/>
  <c r="E94" i="3"/>
  <c r="E119" i="3"/>
  <c r="E144" i="3"/>
  <c r="E122" i="3"/>
  <c r="E124" i="3"/>
  <c r="E121" i="3"/>
  <c r="E170" i="3"/>
  <c r="E171" i="3"/>
  <c r="E172" i="3"/>
  <c r="E173" i="3"/>
  <c r="E174" i="3"/>
  <c r="E8" i="3"/>
  <c r="E55" i="3"/>
  <c r="E16" i="3"/>
  <c r="E36" i="3"/>
  <c r="E27" i="3"/>
  <c r="E57" i="3"/>
  <c r="E33" i="3"/>
  <c r="E65" i="3"/>
  <c r="E20" i="3"/>
  <c r="E22" i="3"/>
  <c r="E24" i="3"/>
  <c r="E50" i="3"/>
  <c r="E17" i="3"/>
  <c r="E12" i="3"/>
  <c r="E44" i="3"/>
  <c r="E46" i="3"/>
  <c r="E49" i="3"/>
  <c r="E19" i="3"/>
  <c r="E66" i="3"/>
  <c r="E40" i="3"/>
  <c r="E63" i="3"/>
  <c r="E59" i="3"/>
  <c r="E47" i="3"/>
  <c r="E56" i="3"/>
  <c r="E68" i="3"/>
  <c r="E48" i="3"/>
  <c r="E38" i="3"/>
  <c r="E26" i="3"/>
  <c r="E15" i="3"/>
  <c r="E9" i="3"/>
  <c r="E69" i="3"/>
  <c r="E64" i="3"/>
  <c r="E61" i="3"/>
  <c r="E67" i="3"/>
  <c r="E43" i="3"/>
  <c r="E29" i="3"/>
  <c r="E10" i="3"/>
  <c r="E35" i="3"/>
  <c r="E42" i="3"/>
  <c r="E62" i="3"/>
  <c r="E18" i="3"/>
  <c r="E28" i="3"/>
  <c r="E51" i="3"/>
  <c r="E41" i="3"/>
  <c r="E45" i="3"/>
  <c r="E37" i="3"/>
  <c r="E21" i="3"/>
  <c r="E25" i="3"/>
  <c r="E39" i="3"/>
  <c r="E23" i="3"/>
  <c r="E11" i="3"/>
  <c r="E31" i="3"/>
  <c r="E52" i="3"/>
  <c r="E13" i="3"/>
  <c r="E32" i="3"/>
  <c r="E53" i="3"/>
  <c r="E30" i="3"/>
  <c r="E14" i="3"/>
  <c r="E54" i="3"/>
  <c r="E58" i="3"/>
  <c r="E34" i="3"/>
  <c r="E60" i="3"/>
  <c r="E7" i="3"/>
  <c r="AK41" i="3" l="1"/>
  <c r="AK40" i="3"/>
  <c r="AK38" i="3"/>
  <c r="AK39" i="3"/>
  <c r="AK37" i="3"/>
  <c r="AK36" i="3"/>
  <c r="AK35" i="3"/>
  <c r="AK32" i="3"/>
  <c r="AK33" i="3"/>
  <c r="AK30" i="3"/>
  <c r="AK31" i="3"/>
  <c r="AK34" i="3"/>
  <c r="AK8" i="3"/>
  <c r="AK20" i="3"/>
  <c r="AK9" i="3"/>
  <c r="AK21" i="3"/>
  <c r="AK10" i="3"/>
  <c r="AK22" i="3"/>
  <c r="AK11" i="3"/>
  <c r="AK23" i="3"/>
  <c r="AK12" i="3"/>
  <c r="AK24" i="3"/>
  <c r="AK13" i="3"/>
  <c r="AK25" i="3"/>
  <c r="AK14" i="3"/>
  <c r="AK26" i="3"/>
  <c r="AK15" i="3"/>
  <c r="AK27" i="3"/>
  <c r="AK16" i="3"/>
  <c r="AK28" i="3"/>
  <c r="AK17" i="3"/>
  <c r="AK29" i="3"/>
  <c r="AK18" i="3"/>
  <c r="AK19" i="3"/>
  <c r="AK7" i="3"/>
  <c r="V10" i="3"/>
  <c r="W10" i="3" s="1"/>
  <c r="U11" i="3"/>
  <c r="I9" i="3"/>
  <c r="I7" i="3"/>
  <c r="J7" i="3" s="1"/>
  <c r="AN13" i="3" l="1"/>
  <c r="AN14" i="3"/>
  <c r="AN15" i="3"/>
  <c r="AN9" i="3"/>
  <c r="AN7" i="3"/>
  <c r="AN8" i="3"/>
  <c r="U12" i="3"/>
  <c r="V11" i="3"/>
  <c r="W11" i="3" s="1"/>
  <c r="J9" i="3"/>
  <c r="J8" i="3" s="1"/>
  <c r="I8" i="3"/>
  <c r="AN16" i="3" l="1"/>
  <c r="AO13" i="3" s="1"/>
  <c r="AN10" i="3"/>
  <c r="AO7" i="3" s="1"/>
  <c r="U13" i="3"/>
  <c r="V12" i="3"/>
  <c r="W12" i="3" s="1"/>
  <c r="AO14" i="3" l="1"/>
  <c r="AO15" i="3"/>
  <c r="AO9" i="3"/>
  <c r="AO8" i="3"/>
  <c r="V13" i="3"/>
  <c r="W13" i="3" s="1"/>
  <c r="U14" i="3"/>
  <c r="AO10" i="3" l="1"/>
  <c r="AO16" i="3"/>
  <c r="V14" i="3"/>
  <c r="W14" i="3" s="1"/>
  <c r="U15" i="3"/>
  <c r="V15" i="3" s="1"/>
  <c r="W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White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Jessica White:</t>
        </r>
        <r>
          <rPr>
            <sz val="9"/>
            <color indexed="81"/>
            <rFont val="Tahoma"/>
            <family val="2"/>
          </rPr>
          <t xml:space="preserve">
From ERR list downloaded from SRA (saved on athena)</t>
        </r>
      </text>
    </comment>
    <comment ref="L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Jessica White:</t>
        </r>
        <r>
          <rPr>
            <sz val="9"/>
            <color indexed="81"/>
            <rFont val="Tahoma"/>
            <family val="2"/>
          </rPr>
          <t xml:space="preserve">
=IF($E6=K$5, $B6, 0)</t>
        </r>
      </text>
    </comment>
    <comment ref="M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Jessica White:</t>
        </r>
        <r>
          <rPr>
            <sz val="9"/>
            <color indexed="81"/>
            <rFont val="Tahoma"/>
            <family val="2"/>
          </rPr>
          <t xml:space="preserve">
=IF($E6=L$5, $B6, 0)</t>
        </r>
      </text>
    </comment>
  </commentList>
</comments>
</file>

<file path=xl/sharedStrings.xml><?xml version="1.0" encoding="utf-8"?>
<sst xmlns="http://schemas.openxmlformats.org/spreadsheetml/2006/main" count="5469" uniqueCount="1614">
  <si>
    <t>experiment_accession</t>
  </si>
  <si>
    <t>gsm</t>
  </si>
  <si>
    <t>gsm_links</t>
  </si>
  <si>
    <t>age_at_diagnosis</t>
  </si>
  <si>
    <t>gender</t>
  </si>
  <si>
    <t>smoking_status</t>
  </si>
  <si>
    <t>stage</t>
  </si>
  <si>
    <t>sample</t>
  </si>
  <si>
    <t>study_accession</t>
  </si>
  <si>
    <t>sample_accession</t>
  </si>
  <si>
    <t>secondary_sample_accession</t>
  </si>
  <si>
    <t>run_accession</t>
  </si>
  <si>
    <t>fastq_ftp</t>
  </si>
  <si>
    <t>ERX140427</t>
  </si>
  <si>
    <t>GSM993606</t>
  </si>
  <si>
    <t>https://www.ncbi.nlm.nih.gov//geo/query/acc.cgi?acc=GSM993606</t>
  </si>
  <si>
    <t>male</t>
  </si>
  <si>
    <t>smoker</t>
  </si>
  <si>
    <t>1A</t>
  </si>
  <si>
    <t>LC_C1</t>
  </si>
  <si>
    <t>PRJEB2784</t>
  </si>
  <si>
    <t>SAMEA1499272</t>
  </si>
  <si>
    <t>ERS167310</t>
  </si>
  <si>
    <t>ERR164550</t>
  </si>
  <si>
    <t>ftp.sra.ebi.ac.uk/vol1/fastq/ERR164/ERR164550/ERR164550_1.fastq.gz;ftp.sra.ebi.ac.uk/vol1/fastq/ERR164/ERR164550/ERR164550_2.fastq.gz</t>
  </si>
  <si>
    <t>ERX140428</t>
  </si>
  <si>
    <t>GSM993607</t>
  </si>
  <si>
    <t>https://www.ncbi.nlm.nih.gov//geo/query/acc.cgi?acc=GSM993607</t>
  </si>
  <si>
    <t>current smoker</t>
  </si>
  <si>
    <t>2B</t>
  </si>
  <si>
    <t>LC_C2</t>
  </si>
  <si>
    <t>SAMEA1499302</t>
  </si>
  <si>
    <t>ERS167311</t>
  </si>
  <si>
    <t>ERR164551</t>
  </si>
  <si>
    <t>ftp.sra.ebi.ac.uk/vol1/fastq/ERR164/ERR164551/ERR164551_1.fastq.gz;ftp.sra.ebi.ac.uk/vol1/fastq/ERR164/ERR164551/ERR164551_2.fastq.gz</t>
  </si>
  <si>
    <t>ERX140429</t>
  </si>
  <si>
    <t>GSM993608</t>
  </si>
  <si>
    <t>https://www.ncbi.nlm.nih.gov//geo/query/acc.cgi?acc=GSM993608</t>
  </si>
  <si>
    <t>female</t>
  </si>
  <si>
    <t>never smoker</t>
  </si>
  <si>
    <t>LC_C3</t>
  </si>
  <si>
    <t>SAMEA1499306</t>
  </si>
  <si>
    <t>ERS167312</t>
  </si>
  <si>
    <t>ERR164552</t>
  </si>
  <si>
    <t>ftp.sra.ebi.ac.uk/vol1/fastq/ERR164/ERR164552/ERR164552_1.fastq.gz;ftp.sra.ebi.ac.uk/vol1/fastq/ERR164/ERR164552/ERR164552_2.fastq.gz</t>
  </si>
  <si>
    <t>ERX140430</t>
  </si>
  <si>
    <t>GSM993610</t>
  </si>
  <si>
    <t>https://www.ncbi.nlm.nih.gov//geo/query/acc.cgi?acc=GSM993610</t>
  </si>
  <si>
    <t>3B</t>
  </si>
  <si>
    <t>LC_C4</t>
  </si>
  <si>
    <t>SAMEA1499329</t>
  </si>
  <si>
    <t>ERS167313</t>
  </si>
  <si>
    <t>ERR164553</t>
  </si>
  <si>
    <t>ftp.sra.ebi.ac.uk/vol1/fastq/ERR164/ERR164553/ERR164553_1.fastq.gz;ftp.sra.ebi.ac.uk/vol1/fastq/ERR164/ERR164553/ERR164553_2.fastq.gz</t>
  </si>
  <si>
    <t>ERX140431</t>
  </si>
  <si>
    <t>GSM993611</t>
  </si>
  <si>
    <t>https://www.ncbi.nlm.nih.gov//geo/query/acc.cgi?acc=GSM993611</t>
  </si>
  <si>
    <t>NA</t>
  </si>
  <si>
    <t>3A</t>
  </si>
  <si>
    <t>LC_C5</t>
  </si>
  <si>
    <t>SAMEA1499346</t>
  </si>
  <si>
    <t>ERS167314</t>
  </si>
  <si>
    <t>ERR164554</t>
  </si>
  <si>
    <t>ftp.sra.ebi.ac.uk/vol1/fastq/ERR164/ERR164554/ERR164554_1.fastq.gz;ftp.sra.ebi.ac.uk/vol1/fastq/ERR164/ERR164554/ERR164554_2.fastq.gz</t>
  </si>
  <si>
    <t>ERX140432</t>
  </si>
  <si>
    <t>GSM993612</t>
  </si>
  <si>
    <t>https://www.ncbi.nlm.nih.gov//geo/query/acc.cgi?acc=GSM993612</t>
  </si>
  <si>
    <t>LC_C6</t>
  </si>
  <si>
    <t>SAMEA1499362</t>
  </si>
  <si>
    <t>ERS167315</t>
  </si>
  <si>
    <t>ERR164555</t>
  </si>
  <si>
    <t>ftp.sra.ebi.ac.uk/vol1/fastq/ERR164/ERR164555/ERR164555_1.fastq.gz;ftp.sra.ebi.ac.uk/vol1/fastq/ERR164/ERR164555/ERR164555_2.fastq.gz</t>
  </si>
  <si>
    <t>ERX140433</t>
  </si>
  <si>
    <t>GSM993613</t>
  </si>
  <si>
    <t>https://www.ncbi.nlm.nih.gov//geo/query/acc.cgi?acc=GSM993613</t>
  </si>
  <si>
    <t>LC_C7</t>
  </si>
  <si>
    <t>SAMEA1499376</t>
  </si>
  <si>
    <t>ERS167316</t>
  </si>
  <si>
    <t>ERR164556</t>
  </si>
  <si>
    <t>ftp.sra.ebi.ac.uk/vol1/fastq/ERR164/ERR164556/ERR164556_1.fastq.gz;ftp.sra.ebi.ac.uk/vol1/fastq/ERR164/ERR164556/ERR164556_2.fastq.gz</t>
  </si>
  <si>
    <t>ERX140434</t>
  </si>
  <si>
    <t>GSM993614</t>
  </si>
  <si>
    <t>https://www.ncbi.nlm.nih.gov//geo/query/acc.cgi?acc=GSM993614</t>
  </si>
  <si>
    <t>1B</t>
  </si>
  <si>
    <t>LC_C8</t>
  </si>
  <si>
    <t>SAMEA1499226</t>
  </si>
  <si>
    <t>ERS167317</t>
  </si>
  <si>
    <t>ERR164557</t>
  </si>
  <si>
    <t>ftp.sra.ebi.ac.uk/vol1/fastq/ERR164/ERR164557/ERR164557_1.fastq.gz;ftp.sra.ebi.ac.uk/vol1/fastq/ERR164/ERR164557/ERR164557_2.fastq.gz</t>
  </si>
  <si>
    <t>ERX140435</t>
  </si>
  <si>
    <t>GSM993616</t>
  </si>
  <si>
    <t>https://www.ncbi.nlm.nih.gov//geo/query/acc.cgi?acc=GSM993616</t>
  </si>
  <si>
    <t>LC_C9</t>
  </si>
  <si>
    <t>SAMEA1499250</t>
  </si>
  <si>
    <t>ERS167318</t>
  </si>
  <si>
    <t>ERR164558</t>
  </si>
  <si>
    <t>ftp.sra.ebi.ac.uk/vol1/fastq/ERR164/ERR164558/ERR164558_1.fastq.gz;ftp.sra.ebi.ac.uk/vol1/fastq/ERR164/ERR164558/ERR164558_2.fastq.gz</t>
  </si>
  <si>
    <t>ERX140436</t>
  </si>
  <si>
    <t>GSM993617</t>
  </si>
  <si>
    <t>https://www.ncbi.nlm.nih.gov//geo/query/acc.cgi?acc=GSM993617</t>
  </si>
  <si>
    <t>2A</t>
  </si>
  <si>
    <t>LC_C10</t>
  </si>
  <si>
    <t>SAMEA1499277</t>
  </si>
  <si>
    <t>ERS167319</t>
  </si>
  <si>
    <t>ERR164559</t>
  </si>
  <si>
    <t>ftp.sra.ebi.ac.uk/vol1/fastq/ERR164/ERR164559/ERR164559_1.fastq.gz;ftp.sra.ebi.ac.uk/vol1/fastq/ERR164/ERR164559/ERR164559_2.fastq.gz</t>
  </si>
  <si>
    <t>ERX140437</t>
  </si>
  <si>
    <t>GSM993618</t>
  </si>
  <si>
    <t>https://www.ncbi.nlm.nih.gov//geo/query/acc.cgi?acc=GSM993618</t>
  </si>
  <si>
    <t>LC_C11</t>
  </si>
  <si>
    <t>SAMEA1499328</t>
  </si>
  <si>
    <t>ERS167320</t>
  </si>
  <si>
    <t>ERR164560</t>
  </si>
  <si>
    <t>ftp.sra.ebi.ac.uk/vol1/fastq/ERR164/ERR164560/ERR164560_1.fastq.gz;ftp.sra.ebi.ac.uk/vol1/fastq/ERR164/ERR164560/ERR164560_2.fastq.gz</t>
  </si>
  <si>
    <t>ERX140438</t>
  </si>
  <si>
    <t>GSM993619</t>
  </si>
  <si>
    <t>https://www.ncbi.nlm.nih.gov//geo/query/acc.cgi?acc=GSM993619</t>
  </si>
  <si>
    <t>LC_C12</t>
  </si>
  <si>
    <t>SAMEA1499305</t>
  </si>
  <si>
    <t>ERS167321</t>
  </si>
  <si>
    <t>ERR164561</t>
  </si>
  <si>
    <t>ftp.sra.ebi.ac.uk/vol1/fastq/ERR164/ERR164561/ERR164561_1.fastq.gz;ftp.sra.ebi.ac.uk/vol1/fastq/ERR164/ERR164561/ERR164561_2.fastq.gz</t>
  </si>
  <si>
    <t>ERX140439</t>
  </si>
  <si>
    <t>GSM993620</t>
  </si>
  <si>
    <t>https://www.ncbi.nlm.nih.gov//geo/query/acc.cgi?acc=GSM993620</t>
  </si>
  <si>
    <t>LC_C13</t>
  </si>
  <si>
    <t>SAMEA1499364</t>
  </si>
  <si>
    <t>ERS167322</t>
  </si>
  <si>
    <t>ERR164562</t>
  </si>
  <si>
    <t>ftp.sra.ebi.ac.uk/vol1/fastq/ERR164/ERR164562/ERR164562_1.fastq.gz;ftp.sra.ebi.ac.uk/vol1/fastq/ERR164/ERR164562/ERR164562_2.fastq.gz</t>
  </si>
  <si>
    <t>ERX140440</t>
  </si>
  <si>
    <t>GSM993621</t>
  </si>
  <si>
    <t>https://www.ncbi.nlm.nih.gov//geo/query/acc.cgi?acc=GSM993621</t>
  </si>
  <si>
    <t>LC_C14</t>
  </si>
  <si>
    <t>SAMEA1499359</t>
  </si>
  <si>
    <t>ERS167323</t>
  </si>
  <si>
    <t>ERR164563</t>
  </si>
  <si>
    <t>ftp.sra.ebi.ac.uk/vol1/fastq/ERR164/ERR164563/ERR164563_1.fastq.gz;ftp.sra.ebi.ac.uk/vol1/fastq/ERR164/ERR164563/ERR164563_2.fastq.gz</t>
  </si>
  <si>
    <t>ERX140441</t>
  </si>
  <si>
    <t>GSM993622</t>
  </si>
  <si>
    <t>https://www.ncbi.nlm.nih.gov//geo/query/acc.cgi?acc=GSM993622</t>
  </si>
  <si>
    <t>LC_C15</t>
  </si>
  <si>
    <t>SAMEA1499241</t>
  </si>
  <si>
    <t>ERS167324</t>
  </si>
  <si>
    <t>ERR164564</t>
  </si>
  <si>
    <t>ftp.sra.ebi.ac.uk/vol1/fastq/ERR164/ERR164564/ERR164564_1.fastq.gz;ftp.sra.ebi.ac.uk/vol1/fastq/ERR164/ERR164564/ERR164564_2.fastq.gz</t>
  </si>
  <si>
    <t>ERX140442</t>
  </si>
  <si>
    <t>GSM993623</t>
  </si>
  <si>
    <t>https://www.ncbi.nlm.nih.gov//geo/query/acc.cgi?acc=GSM993623</t>
  </si>
  <si>
    <t>LC_C16</t>
  </si>
  <si>
    <t>SAMEA1499230</t>
  </si>
  <si>
    <t>ERS167325</t>
  </si>
  <si>
    <t>ERR164565</t>
  </si>
  <si>
    <t>ftp.sra.ebi.ac.uk/vol1/fastq/ERR164/ERR164565/ERR164565_1.fastq.gz;ftp.sra.ebi.ac.uk/vol1/fastq/ERR164/ERR164565/ERR164565_2.fastq.gz</t>
  </si>
  <si>
    <t>ERX140443</t>
  </si>
  <si>
    <t>GSM993624</t>
  </si>
  <si>
    <t>https://www.ncbi.nlm.nih.gov//geo/query/acc.cgi?acc=GSM993624</t>
  </si>
  <si>
    <t>LC_C17</t>
  </si>
  <si>
    <t>SAMEA1499288</t>
  </si>
  <si>
    <t>ERS167326</t>
  </si>
  <si>
    <t>ERR164566</t>
  </si>
  <si>
    <t>ftp.sra.ebi.ac.uk/vol1/fastq/ERR164/ERR164566/ERR164566_1.fastq.gz;ftp.sra.ebi.ac.uk/vol1/fastq/ERR164/ERR164566/ERR164566_2.fastq.gz</t>
  </si>
  <si>
    <t>ERX140444</t>
  </si>
  <si>
    <t>GSM993625</t>
  </si>
  <si>
    <t>https://www.ncbi.nlm.nih.gov//geo/query/acc.cgi?acc=GSM993625</t>
  </si>
  <si>
    <t>LC_C18</t>
  </si>
  <si>
    <t>SAMEA1499300</t>
  </si>
  <si>
    <t>ERS167327</t>
  </si>
  <si>
    <t>ERR164567</t>
  </si>
  <si>
    <t>ftp.sra.ebi.ac.uk/vol1/fastq/ERR164/ERR164567/ERR164567_1.fastq.gz;ftp.sra.ebi.ac.uk/vol1/fastq/ERR164/ERR164567/ERR164567_2.fastq.gz</t>
  </si>
  <si>
    <t>ERX140445</t>
  </si>
  <si>
    <t>GSM993626</t>
  </si>
  <si>
    <t>https://www.ncbi.nlm.nih.gov//geo/query/acc.cgi?acc=GSM993626</t>
  </si>
  <si>
    <t>LC_C19</t>
  </si>
  <si>
    <t>SAMEA1499278</t>
  </si>
  <si>
    <t>ERS167328</t>
  </si>
  <si>
    <t>ERR164568</t>
  </si>
  <si>
    <t>ftp.sra.ebi.ac.uk/vol1/fastq/ERR164/ERR164568/ERR164568_1.fastq.gz;ftp.sra.ebi.ac.uk/vol1/fastq/ERR164/ERR164568/ERR164568_2.fastq.gz</t>
  </si>
  <si>
    <t>ERX140446</t>
  </si>
  <si>
    <t>GSM993627</t>
  </si>
  <si>
    <t>https://www.ncbi.nlm.nih.gov//geo/query/acc.cgi?acc=GSM993627</t>
  </si>
  <si>
    <t>LC_C20</t>
  </si>
  <si>
    <t>SAMEA1499331</t>
  </si>
  <si>
    <t>ERS167329</t>
  </si>
  <si>
    <t>ERR164569</t>
  </si>
  <si>
    <t>ftp.sra.ebi.ac.uk/vol1/fastq/ERR164/ERR164569/ERR164569_1.fastq.gz;ftp.sra.ebi.ac.uk/vol1/fastq/ERR164/ERR164569/ERR164569_2.fastq.gz</t>
  </si>
  <si>
    <t>ERX140447</t>
  </si>
  <si>
    <t>GSM993628</t>
  </si>
  <si>
    <t>https://www.ncbi.nlm.nih.gov//geo/query/acc.cgi?acc=GSM993628</t>
  </si>
  <si>
    <t>LC_C21</t>
  </si>
  <si>
    <t>SAMEA1499322</t>
  </si>
  <si>
    <t>ERS167330</t>
  </si>
  <si>
    <t>ERR164570</t>
  </si>
  <si>
    <t>ftp.sra.ebi.ac.uk/vol1/fastq/ERR164/ERR164570/ERR164570_1.fastq.gz;ftp.sra.ebi.ac.uk/vol1/fastq/ERR164/ERR164570/ERR164570_2.fastq.gz</t>
  </si>
  <si>
    <t>ERX140448</t>
  </si>
  <si>
    <t>GSM993629</t>
  </si>
  <si>
    <t>https://www.ncbi.nlm.nih.gov//geo/query/acc.cgi?acc=GSM993629</t>
  </si>
  <si>
    <t>LC_C22</t>
  </si>
  <si>
    <t>SAMEA1499334</t>
  </si>
  <si>
    <t>ERS167331</t>
  </si>
  <si>
    <t>ERR164571</t>
  </si>
  <si>
    <t>ftp.sra.ebi.ac.uk/vol1/fastq/ERR164/ERR164571/ERR164571_1.fastq.gz;ftp.sra.ebi.ac.uk/vol1/fastq/ERR164/ERR164571/ERR164571_2.fastq.gz</t>
  </si>
  <si>
    <t>ERX140449</t>
  </si>
  <si>
    <t>GSM993630</t>
  </si>
  <si>
    <t>https://www.ncbi.nlm.nih.gov//geo/query/acc.cgi?acc=GSM993630</t>
  </si>
  <si>
    <t>LC_C23</t>
  </si>
  <si>
    <t>SAMEA1499284</t>
  </si>
  <si>
    <t>ERS167332</t>
  </si>
  <si>
    <t>ERR164572</t>
  </si>
  <si>
    <t>ftp.sra.ebi.ac.uk/vol1/fastq/ERR164/ERR164572/ERR164572_1.fastq.gz;ftp.sra.ebi.ac.uk/vol1/fastq/ERR164/ERR164572/ERR164572_2.fastq.gz</t>
  </si>
  <si>
    <t>ERX140450</t>
  </si>
  <si>
    <t>GSM993631</t>
  </si>
  <si>
    <t>https://www.ncbi.nlm.nih.gov//geo/query/acc.cgi?acc=GSM993631</t>
  </si>
  <si>
    <t>LC_C24</t>
  </si>
  <si>
    <t>SAMEA1499264</t>
  </si>
  <si>
    <t>ERS167333</t>
  </si>
  <si>
    <t>ERR164573</t>
  </si>
  <si>
    <t>ftp.sra.ebi.ac.uk/vol1/fastq/ERR164/ERR164573/ERR164573_1.fastq.gz;ftp.sra.ebi.ac.uk/vol1/fastq/ERR164/ERR164573/ERR164573_2.fastq.gz</t>
  </si>
  <si>
    <t>ERX140451</t>
  </si>
  <si>
    <t>GSM993632</t>
  </si>
  <si>
    <t>https://www.ncbi.nlm.nih.gov//geo/query/acc.cgi?acc=GSM993632</t>
  </si>
  <si>
    <t>LC_C25</t>
  </si>
  <si>
    <t>SAMEA1499254</t>
  </si>
  <si>
    <t>ERS167334</t>
  </si>
  <si>
    <t>ERR164574</t>
  </si>
  <si>
    <t>ftp.sra.ebi.ac.uk/vol1/fastq/ERR164/ERR164574/ERR164574_1.fastq.gz;ftp.sra.ebi.ac.uk/vol1/fastq/ERR164/ERR164574/ERR164574_2.fastq.gz</t>
  </si>
  <si>
    <t>ERX140452</t>
  </si>
  <si>
    <t>GSM993633</t>
  </si>
  <si>
    <t>https://www.ncbi.nlm.nih.gov//geo/query/acc.cgi?acc=GSM993633</t>
  </si>
  <si>
    <t>LC_C26</t>
  </si>
  <si>
    <t>SAMEA1499239</t>
  </si>
  <si>
    <t>ERS167335</t>
  </si>
  <si>
    <t>ERR164575</t>
  </si>
  <si>
    <t>ftp.sra.ebi.ac.uk/vol1/fastq/ERR164/ERR164575/ERR164575_1.fastq.gz;ftp.sra.ebi.ac.uk/vol1/fastq/ERR164/ERR164575/ERR164575_2.fastq.gz</t>
  </si>
  <si>
    <t>ERX140453</t>
  </si>
  <si>
    <t>GSM993634</t>
  </si>
  <si>
    <t>https://www.ncbi.nlm.nih.gov//geo/query/acc.cgi?acc=GSM993634</t>
  </si>
  <si>
    <t>LC_C27</t>
  </si>
  <si>
    <t>SAMEA1499380</t>
  </si>
  <si>
    <t>ERS167336</t>
  </si>
  <si>
    <t>ERR164576</t>
  </si>
  <si>
    <t>ftp.sra.ebi.ac.uk/vol1/fastq/ERR164/ERR164576/ERR164576_1.fastq.gz;ftp.sra.ebi.ac.uk/vol1/fastq/ERR164/ERR164576/ERR164576_2.fastq.gz</t>
  </si>
  <si>
    <t>ERX140454</t>
  </si>
  <si>
    <t>GSM993635</t>
  </si>
  <si>
    <t>https://www.ncbi.nlm.nih.gov//geo/query/acc.cgi?acc=GSM993635</t>
  </si>
  <si>
    <t>LC_C28</t>
  </si>
  <si>
    <t>SAMEA1499355</t>
  </si>
  <si>
    <t>ERS167337</t>
  </si>
  <si>
    <t>ERR164577</t>
  </si>
  <si>
    <t>ftp.sra.ebi.ac.uk/vol1/fastq/ERR164/ERR164577/ERR164577_1.fastq.gz;ftp.sra.ebi.ac.uk/vol1/fastq/ERR164/ERR164577/ERR164577_2.fastq.gz</t>
  </si>
  <si>
    <t>ERX140455</t>
  </si>
  <si>
    <t>GSM993636</t>
  </si>
  <si>
    <t>https://www.ncbi.nlm.nih.gov//geo/query/acc.cgi?acc=GSM993636</t>
  </si>
  <si>
    <t>LC_C29</t>
  </si>
  <si>
    <t>SAMEA1499342</t>
  </si>
  <si>
    <t>ERS167338</t>
  </si>
  <si>
    <t>ERR164578</t>
  </si>
  <si>
    <t>ftp.sra.ebi.ac.uk/vol1/fastq/ERR164/ERR164578/ERR164578_1.fastq.gz;ftp.sra.ebi.ac.uk/vol1/fastq/ERR164/ERR164578/ERR164578_2.fastq.gz</t>
  </si>
  <si>
    <t>ERX140456</t>
  </si>
  <si>
    <t>GSM993637</t>
  </si>
  <si>
    <t>https://www.ncbi.nlm.nih.gov//geo/query/acc.cgi?acc=GSM993637</t>
  </si>
  <si>
    <t>LC_C30</t>
  </si>
  <si>
    <t>SAMEA1499323</t>
  </si>
  <si>
    <t>ERS167339</t>
  </si>
  <si>
    <t>ERR164579</t>
  </si>
  <si>
    <t>ftp.sra.ebi.ac.uk/vol1/fastq/ERR164/ERR164579/ERR164579_1.fastq.gz;ftp.sra.ebi.ac.uk/vol1/fastq/ERR164/ERR164579/ERR164579_2.fastq.gz</t>
  </si>
  <si>
    <t>ERX140457</t>
  </si>
  <si>
    <t>GSM993638</t>
  </si>
  <si>
    <t>https://www.ncbi.nlm.nih.gov//geo/query/acc.cgi?acc=GSM993638</t>
  </si>
  <si>
    <t>LC_C31</t>
  </si>
  <si>
    <t>SAMEA1499339</t>
  </si>
  <si>
    <t>ERS167340</t>
  </si>
  <si>
    <t>ERR164580</t>
  </si>
  <si>
    <t>ftp.sra.ebi.ac.uk/vol1/fastq/ERR164/ERR164580/ERR164580_1.fastq.gz;ftp.sra.ebi.ac.uk/vol1/fastq/ERR164/ERR164580/ERR164580_2.fastq.gz</t>
  </si>
  <si>
    <t>ERX140458</t>
  </si>
  <si>
    <t>GSM993639</t>
  </si>
  <si>
    <t>https://www.ncbi.nlm.nih.gov//geo/query/acc.cgi?acc=GSM993639</t>
  </si>
  <si>
    <t>LC_C32</t>
  </si>
  <si>
    <t>SAMEA1499357</t>
  </si>
  <si>
    <t>ERS167341</t>
  </si>
  <si>
    <t>ERR164581</t>
  </si>
  <si>
    <t>ftp.sra.ebi.ac.uk/vol1/fastq/ERR164/ERR164581/ERR164581_1.fastq.gz;ftp.sra.ebi.ac.uk/vol1/fastq/ERR164/ERR164581/ERR164581_2.fastq.gz</t>
  </si>
  <si>
    <t>ERX140459</t>
  </si>
  <si>
    <t>GSM993640</t>
  </si>
  <si>
    <t>https://www.ncbi.nlm.nih.gov//geo/query/acc.cgi?acc=GSM993640</t>
  </si>
  <si>
    <t>LC_C33</t>
  </si>
  <si>
    <t>SAMEA1499345</t>
  </si>
  <si>
    <t>ERS167342</t>
  </si>
  <si>
    <t>ERR164582</t>
  </si>
  <si>
    <t>ftp.sra.ebi.ac.uk/vol1/fastq/ERR164/ERR164582/ERR164582_1.fastq.gz;ftp.sra.ebi.ac.uk/vol1/fastq/ERR164/ERR164582/ERR164582_2.fastq.gz</t>
  </si>
  <si>
    <t>ERX140460</t>
  </si>
  <si>
    <t>GSM993641</t>
  </si>
  <si>
    <t>https://www.ncbi.nlm.nih.gov//geo/query/acc.cgi?acc=GSM993641</t>
  </si>
  <si>
    <t>LC_C34</t>
  </si>
  <si>
    <t>SAMEA1499366</t>
  </si>
  <si>
    <t>ERS167343</t>
  </si>
  <si>
    <t>ERR164583</t>
  </si>
  <si>
    <t>ftp.sra.ebi.ac.uk/vol1/fastq/ERR164/ERR164583/ERR164583_1.fastq.gz;ftp.sra.ebi.ac.uk/vol1/fastq/ERR164/ERR164583/ERR164583_2.fastq.gz</t>
  </si>
  <si>
    <t>ERX140461</t>
  </si>
  <si>
    <t>GSM993642</t>
  </si>
  <si>
    <t>https://www.ncbi.nlm.nih.gov//geo/query/acc.cgi?acc=GSM993642</t>
  </si>
  <si>
    <t>LC_C35</t>
  </si>
  <si>
    <t>SAMEA1499222</t>
  </si>
  <si>
    <t>ERS167344</t>
  </si>
  <si>
    <t>ERR164584</t>
  </si>
  <si>
    <t>ftp.sra.ebi.ac.uk/vol1/fastq/ERR164/ERR164584/ERR164584_1.fastq.gz;ftp.sra.ebi.ac.uk/vol1/fastq/ERR164/ERR164584/ERR164584_2.fastq.gz</t>
  </si>
  <si>
    <t>ERX140462</t>
  </si>
  <si>
    <t>GSM993643</t>
  </si>
  <si>
    <t>https://www.ncbi.nlm.nih.gov//geo/query/acc.cgi?acc=GSM993643</t>
  </si>
  <si>
    <t>LC_C36</t>
  </si>
  <si>
    <t>SAMEA1499257</t>
  </si>
  <si>
    <t>ERS167345</t>
  </si>
  <si>
    <t>ERR164585</t>
  </si>
  <si>
    <t>ftp.sra.ebi.ac.uk/vol1/fastq/ERR164/ERR164585/ERR164585_1.fastq.gz;ftp.sra.ebi.ac.uk/vol1/fastq/ERR164/ERR164585/ERR164585_2.fastq.gz</t>
  </si>
  <si>
    <t>ERX040276</t>
  </si>
  <si>
    <t>GSM993644</t>
  </si>
  <si>
    <t>https://www.ncbi.nlm.nih.gov//geo/query/acc.cgi?acc=GSM993644</t>
  </si>
  <si>
    <t>LC_S1</t>
  </si>
  <si>
    <t>SAMEA1094643</t>
  </si>
  <si>
    <t>ERS079846</t>
  </si>
  <si>
    <t>ERR062334</t>
  </si>
  <si>
    <t>ERX040277</t>
  </si>
  <si>
    <t>GSM993645</t>
  </si>
  <si>
    <t>https://www.ncbi.nlm.nih.gov//geo/query/acc.cgi?acc=GSM993645</t>
  </si>
  <si>
    <t>LC_S2</t>
  </si>
  <si>
    <t>SAMEA1094641</t>
  </si>
  <si>
    <t>ERS079847</t>
  </si>
  <si>
    <t>ERR062335</t>
  </si>
  <si>
    <t>ERX040278</t>
  </si>
  <si>
    <t>GSM993646</t>
  </si>
  <si>
    <t>https://www.ncbi.nlm.nih.gov//geo/query/acc.cgi?acc=GSM993646</t>
  </si>
  <si>
    <t>LC_S3</t>
  </si>
  <si>
    <t>SAMEA1094645</t>
  </si>
  <si>
    <t>ERS079848</t>
  </si>
  <si>
    <t>ERR062336</t>
  </si>
  <si>
    <t>ERX040279</t>
  </si>
  <si>
    <t>GSM993647</t>
  </si>
  <si>
    <t>https://www.ncbi.nlm.nih.gov//geo/query/acc.cgi?acc=GSM993647</t>
  </si>
  <si>
    <t>LC_S4</t>
  </si>
  <si>
    <t>SAMEA1094646</t>
  </si>
  <si>
    <t>ERS079849</t>
  </si>
  <si>
    <t>ERR062337</t>
  </si>
  <si>
    <t>ERX040280</t>
  </si>
  <si>
    <t>GSM993648</t>
  </si>
  <si>
    <t>https://www.ncbi.nlm.nih.gov//geo/query/acc.cgi?acc=GSM993648</t>
  </si>
  <si>
    <t>LC_S5</t>
  </si>
  <si>
    <t>SAMEA1094644</t>
  </si>
  <si>
    <t>ERS079850</t>
  </si>
  <si>
    <t>ERR062338</t>
  </si>
  <si>
    <t>ERX140463</t>
  </si>
  <si>
    <t>GSM993649</t>
  </si>
  <si>
    <t>https://www.ncbi.nlm.nih.gov//geo/query/acc.cgi?acc=GSM993649</t>
  </si>
  <si>
    <t>LC_S6</t>
  </si>
  <si>
    <t>SAMEA1499280</t>
  </si>
  <si>
    <t>ERS167346</t>
  </si>
  <si>
    <t>ERR164586</t>
  </si>
  <si>
    <t>ftp.sra.ebi.ac.uk/vol1/fastq/ERR164/ERR164586/ERR164586_1.fastq.gz;ftp.sra.ebi.ac.uk/vol1/fastq/ERR164/ERR164586/ERR164586_2.fastq.gz</t>
  </si>
  <si>
    <t>ERX140464</t>
  </si>
  <si>
    <t>ERR164587</t>
  </si>
  <si>
    <t>ftp.sra.ebi.ac.uk/vol1/fastq/ERR164/ERR164587/ERR164587_1.fastq.gz;ftp.sra.ebi.ac.uk/vol1/fastq/ERR164/ERR164587/ERR164587_2.fastq.gz</t>
  </si>
  <si>
    <t>ERX140465</t>
  </si>
  <si>
    <t>GSM993650</t>
  </si>
  <si>
    <t>https://www.ncbi.nlm.nih.gov//geo/query/acc.cgi?acc=GSM993650</t>
  </si>
  <si>
    <t>LC_S8</t>
  </si>
  <si>
    <t>SAMEA1499299</t>
  </si>
  <si>
    <t>ERS167347</t>
  </si>
  <si>
    <t>ERR164588</t>
  </si>
  <si>
    <t>ftp.sra.ebi.ac.uk/vol1/fastq/ERR164/ERR164588/ERR164588_1.fastq.gz;ftp.sra.ebi.ac.uk/vol1/fastq/ERR164/ERR164588/ERR164588_2.fastq.gz</t>
  </si>
  <si>
    <t>ERX140466</t>
  </si>
  <si>
    <t>GSM993651</t>
  </si>
  <si>
    <t>https://www.ncbi.nlm.nih.gov//geo/query/acc.cgi?acc=GSM993651</t>
  </si>
  <si>
    <t>LC_S9</t>
  </si>
  <si>
    <t>SAMEA1499324</t>
  </si>
  <si>
    <t>ERS167348</t>
  </si>
  <si>
    <t>ERR164589</t>
  </si>
  <si>
    <t>ftp.sra.ebi.ac.uk/vol1/fastq/ERR164/ERR164589/ERR164589_1.fastq.gz;ftp.sra.ebi.ac.uk/vol1/fastq/ERR164/ERR164589/ERR164589_2.fastq.gz</t>
  </si>
  <si>
    <t>ERX140467</t>
  </si>
  <si>
    <t>GSM993652</t>
  </si>
  <si>
    <t>https://www.ncbi.nlm.nih.gov//geo/query/acc.cgi?acc=GSM993652</t>
  </si>
  <si>
    <t>LC_S10</t>
  </si>
  <si>
    <t>SAMEA1499332</t>
  </si>
  <si>
    <t>ERS167349</t>
  </si>
  <si>
    <t>ERR164590</t>
  </si>
  <si>
    <t>ftp.sra.ebi.ac.uk/vol1/fastq/ERR164/ERR164590/ERR164590_1.fastq.gz;ftp.sra.ebi.ac.uk/vol1/fastq/ERR164/ERR164590/ERR164590_2.fastq.gz</t>
  </si>
  <si>
    <t>ERX140468</t>
  </si>
  <si>
    <t>GSM993653</t>
  </si>
  <si>
    <t>https://www.ncbi.nlm.nih.gov//geo/query/acc.cgi?acc=GSM993653</t>
  </si>
  <si>
    <t>LC_S11</t>
  </si>
  <si>
    <t>SAMEA1499326</t>
  </si>
  <si>
    <t>ERS167350</t>
  </si>
  <si>
    <t>ERR164591</t>
  </si>
  <si>
    <t>ftp.sra.ebi.ac.uk/vol1/fastq/ERR164/ERR164591/ERR164591_1.fastq.gz;ftp.sra.ebi.ac.uk/vol1/fastq/ERR164/ERR164591/ERR164591_2.fastq.gz</t>
  </si>
  <si>
    <t>ERX140469</t>
  </si>
  <si>
    <t>GSM993654</t>
  </si>
  <si>
    <t>https://www.ncbi.nlm.nih.gov//geo/query/acc.cgi?acc=GSM993654</t>
  </si>
  <si>
    <t>LC_S12</t>
  </si>
  <si>
    <t>SAMEA1499266</t>
  </si>
  <si>
    <t>ERS167351</t>
  </si>
  <si>
    <t>ERR164592</t>
  </si>
  <si>
    <t>ftp.sra.ebi.ac.uk/vol1/fastq/ERR164/ERR164592/ERR164592_1.fastq.gz;ftp.sra.ebi.ac.uk/vol1/fastq/ERR164/ERR164592/ERR164592_2.fastq.gz</t>
  </si>
  <si>
    <t>ERX140470</t>
  </si>
  <si>
    <t>GSM993655</t>
  </si>
  <si>
    <t>https://www.ncbi.nlm.nih.gov//geo/query/acc.cgi?acc=GSM993655</t>
  </si>
  <si>
    <t>LC_S13</t>
  </si>
  <si>
    <t>SAMEA1499292</t>
  </si>
  <si>
    <t>ERS167352</t>
  </si>
  <si>
    <t>ERR164593</t>
  </si>
  <si>
    <t>ftp.sra.ebi.ac.uk/vol1/fastq/ERR164/ERR164593/ERR164593_1.fastq.gz;ftp.sra.ebi.ac.uk/vol1/fastq/ERR164/ERR164593/ERR164593_2.fastq.gz</t>
  </si>
  <si>
    <t>ERX140471</t>
  </si>
  <si>
    <t>GSM993656</t>
  </si>
  <si>
    <t>https://www.ncbi.nlm.nih.gov//geo/query/acc.cgi?acc=GSM993656</t>
  </si>
  <si>
    <t>LC_S14</t>
  </si>
  <si>
    <t>SAMEA1499296</t>
  </si>
  <si>
    <t>ERS167353</t>
  </si>
  <si>
    <t>ERR164594</t>
  </si>
  <si>
    <t>ftp.sra.ebi.ac.uk/vol1/fastq/ERR164/ERR164594/ERR164594_1.fastq.gz;ftp.sra.ebi.ac.uk/vol1/fastq/ERR164/ERR164594/ERR164594_2.fastq.gz</t>
  </si>
  <si>
    <t>ERX140472</t>
  </si>
  <si>
    <t>GSM993657</t>
  </si>
  <si>
    <t>https://www.ncbi.nlm.nih.gov//geo/query/acc.cgi?acc=GSM993657</t>
  </si>
  <si>
    <t>LC_S15</t>
  </si>
  <si>
    <t>SAMEA1499233</t>
  </si>
  <si>
    <t>ERS167354</t>
  </si>
  <si>
    <t>ERR164595</t>
  </si>
  <si>
    <t>ftp.sra.ebi.ac.uk/vol1/fastq/ERR164/ERR164595/ERR164595_1.fastq.gz;ftp.sra.ebi.ac.uk/vol1/fastq/ERR164/ERR164595/ERR164595_2.fastq.gz</t>
  </si>
  <si>
    <t>ERX140473</t>
  </si>
  <si>
    <t>GSM993658</t>
  </si>
  <si>
    <t>https://www.ncbi.nlm.nih.gov//geo/query/acc.cgi?acc=GSM993658</t>
  </si>
  <si>
    <t>LC_S16</t>
  </si>
  <si>
    <t>SAMEA1499260</t>
  </si>
  <si>
    <t>ERS167355</t>
  </si>
  <si>
    <t>ERR164596</t>
  </si>
  <si>
    <t>ftp.sra.ebi.ac.uk/vol1/fastq/ERR164/ERR164596/ERR164596_1.fastq.gz;ftp.sra.ebi.ac.uk/vol1/fastq/ERR164/ERR164596/ERR164596_2.fastq.gz</t>
  </si>
  <si>
    <t>ERX140474</t>
  </si>
  <si>
    <t>ERR164597</t>
  </si>
  <si>
    <t>ftp.sra.ebi.ac.uk/vol1/fastq/ERR164/ERR164597/ERR164597_1.fastq.gz;ftp.sra.ebi.ac.uk/vol1/fastq/ERR164/ERR164597/ERR164597_2.fastq.gz</t>
  </si>
  <si>
    <t>ERX140475</t>
  </si>
  <si>
    <t>GSM993659</t>
  </si>
  <si>
    <t>https://www.ncbi.nlm.nih.gov//geo/query/acc.cgi?acc=GSM993659</t>
  </si>
  <si>
    <t>LC_S17</t>
  </si>
  <si>
    <t>SAMEA1499358</t>
  </si>
  <si>
    <t>ERS167356</t>
  </si>
  <si>
    <t>ERR164598</t>
  </si>
  <si>
    <t>ftp.sra.ebi.ac.uk/vol1/fastq/ERR164/ERR164598/ERR164598_1.fastq.gz;ftp.sra.ebi.ac.uk/vol1/fastq/ERR164/ERR164598/ERR164598_2.fastq.gz</t>
  </si>
  <si>
    <t>ERX140476</t>
  </si>
  <si>
    <t>ERR164599</t>
  </si>
  <si>
    <t>ftp.sra.ebi.ac.uk/vol1/fastq/ERR164/ERR164599/ERR164599_1.fastq.gz;ftp.sra.ebi.ac.uk/vol1/fastq/ERR164/ERR164599/ERR164599_2.fastq.gz</t>
  </si>
  <si>
    <t>ERX140477</t>
  </si>
  <si>
    <t>GSM993660</t>
  </si>
  <si>
    <t>https://www.ncbi.nlm.nih.gov//geo/query/acc.cgi?acc=GSM993660</t>
  </si>
  <si>
    <t>LC_S18</t>
  </si>
  <si>
    <t>SAMEA1499378</t>
  </si>
  <si>
    <t>ERS167357</t>
  </si>
  <si>
    <t>ERR164600</t>
  </si>
  <si>
    <t>ftp.sra.ebi.ac.uk/vol1/fastq/ERR164/ERR164600/ERR164600_1.fastq.gz;ftp.sra.ebi.ac.uk/vol1/fastq/ERR164/ERR164600/ERR164600_2.fastq.gz</t>
  </si>
  <si>
    <t>ERX140478</t>
  </si>
  <si>
    <t>GSM993661</t>
  </si>
  <si>
    <t>https://www.ncbi.nlm.nih.gov//geo/query/acc.cgi?acc=GSM993661</t>
  </si>
  <si>
    <t>LC_S19</t>
  </si>
  <si>
    <t>SAMEA1499313</t>
  </si>
  <si>
    <t>ERS167358</t>
  </si>
  <si>
    <t>ERR164601</t>
  </si>
  <si>
    <t>ftp.sra.ebi.ac.uk/vol1/fastq/ERR164/ERR164601/ERR164601_1.fastq.gz;ftp.sra.ebi.ac.uk/vol1/fastq/ERR164/ERR164601/ERR164601_2.fastq.gz</t>
  </si>
  <si>
    <t>ERX140479</t>
  </si>
  <si>
    <t>GSM993662</t>
  </si>
  <si>
    <t>https://www.ncbi.nlm.nih.gov//geo/query/acc.cgi?acc=GSM993662</t>
  </si>
  <si>
    <t>LC_S20</t>
  </si>
  <si>
    <t>SAMEA1499333</t>
  </si>
  <si>
    <t>ERS167359</t>
  </si>
  <si>
    <t>ERR164602</t>
  </si>
  <si>
    <t>ftp.sra.ebi.ac.uk/vol1/fastq/ERR164/ERR164602/ERR164602_1.fastq.gz;ftp.sra.ebi.ac.uk/vol1/fastq/ERR164/ERR164602/ERR164602_2.fastq.gz</t>
  </si>
  <si>
    <t>ERX140480</t>
  </si>
  <si>
    <t>GSM993663</t>
  </si>
  <si>
    <t>https://www.ncbi.nlm.nih.gov//geo/query/acc.cgi?acc=GSM993663</t>
  </si>
  <si>
    <t>LC_S21</t>
  </si>
  <si>
    <t>SAMEA1499268</t>
  </si>
  <si>
    <t>ERS167360</t>
  </si>
  <si>
    <t>ERR164603</t>
  </si>
  <si>
    <t>ftp.sra.ebi.ac.uk/vol1/fastq/ERR164/ERR164603/ERR164603_1.fastq.gz;ftp.sra.ebi.ac.uk/vol1/fastq/ERR164/ERR164603/ERR164603_2.fastq.gz</t>
  </si>
  <si>
    <t>ERX140481</t>
  </si>
  <si>
    <t>GSM993664</t>
  </si>
  <si>
    <t>https://www.ncbi.nlm.nih.gov//geo/query/acc.cgi?acc=GSM993664</t>
  </si>
  <si>
    <t>LC_S22</t>
  </si>
  <si>
    <t>SAMEA1499251</t>
  </si>
  <si>
    <t>ERS167361</t>
  </si>
  <si>
    <t>ERR164604</t>
  </si>
  <si>
    <t>ftp.sra.ebi.ac.uk/vol1/fastq/ERR164/ERR164604/ERR164604_1.fastq.gz;ftp.sra.ebi.ac.uk/vol1/fastq/ERR164/ERR164604/ERR164604_2.fastq.gz</t>
  </si>
  <si>
    <t>ERX140482</t>
  </si>
  <si>
    <t>GSM993665</t>
  </si>
  <si>
    <t>https://www.ncbi.nlm.nih.gov//geo/query/acc.cgi?acc=GSM993665</t>
  </si>
  <si>
    <t>LC_S23</t>
  </si>
  <si>
    <t>SAMEA1499235</t>
  </si>
  <si>
    <t>ERS167362</t>
  </si>
  <si>
    <t>ERR164605</t>
  </si>
  <si>
    <t>ftp.sra.ebi.ac.uk/vol1/fastq/ERR164/ERR164605/ERR164605_1.fastq.gz;ftp.sra.ebi.ac.uk/vol1/fastq/ERR164/ERR164605/ERR164605_2.fastq.gz</t>
  </si>
  <si>
    <t>ERX140483</t>
  </si>
  <si>
    <t>GSM993666</t>
  </si>
  <si>
    <t>https://www.ncbi.nlm.nih.gov//geo/query/acc.cgi?acc=GSM993666</t>
  </si>
  <si>
    <t>LC_S24</t>
  </si>
  <si>
    <t>SAMEA1499261</t>
  </si>
  <si>
    <t>ERS167363</t>
  </si>
  <si>
    <t>ERR164606</t>
  </si>
  <si>
    <t>ftp.sra.ebi.ac.uk/vol1/fastq/ERR164/ERR164606/ERR164606_1.fastq.gz;ftp.sra.ebi.ac.uk/vol1/fastq/ERR164/ERR164606/ERR164606_2.fastq.gz</t>
  </si>
  <si>
    <t>ERX140484</t>
  </si>
  <si>
    <t>GSM993667</t>
  </si>
  <si>
    <t>https://www.ncbi.nlm.nih.gov//geo/query/acc.cgi?acc=GSM993667</t>
  </si>
  <si>
    <t>LC_S25</t>
  </si>
  <si>
    <t>SAMEA1499240</t>
  </si>
  <si>
    <t>ERS167364</t>
  </si>
  <si>
    <t>ERR164607</t>
  </si>
  <si>
    <t>ftp.sra.ebi.ac.uk/vol1/fastq/ERR164/ERR164607/ERR164607_1.fastq.gz;ftp.sra.ebi.ac.uk/vol1/fastq/ERR164/ERR164607/ERR164607_2.fastq.gz</t>
  </si>
  <si>
    <t>ERX140485</t>
  </si>
  <si>
    <t>GSM993668</t>
  </si>
  <si>
    <t>https://www.ncbi.nlm.nih.gov//geo/query/acc.cgi?acc=GSM993668</t>
  </si>
  <si>
    <t>LC_S26</t>
  </si>
  <si>
    <t>SAMEA1499224</t>
  </si>
  <si>
    <t>ERS167365</t>
  </si>
  <si>
    <t>ERR164608</t>
  </si>
  <si>
    <t>ftp.sra.ebi.ac.uk/vol1/fastq/ERR164/ERR164608/ERR164608_1.fastq.gz;ftp.sra.ebi.ac.uk/vol1/fastq/ERR164/ERR164608/ERR164608_2.fastq.gz</t>
  </si>
  <si>
    <t>ERX140486</t>
  </si>
  <si>
    <t>GSM993669</t>
  </si>
  <si>
    <t>https://www.ncbi.nlm.nih.gov//geo/query/acc.cgi?acc=GSM993669</t>
  </si>
  <si>
    <t>LC_S27</t>
  </si>
  <si>
    <t>SAMEA1499291</t>
  </si>
  <si>
    <t>ERS167366</t>
  </si>
  <si>
    <t>ERR164609</t>
  </si>
  <si>
    <t>ftp.sra.ebi.ac.uk/vol1/fastq/ERR164/ERR164609/ERR164609_1.fastq.gz;ftp.sra.ebi.ac.uk/vol1/fastq/ERR164/ERR164609/ERR164609_2.fastq.gz</t>
  </si>
  <si>
    <t>ERX140487</t>
  </si>
  <si>
    <t>GSM993670</t>
  </si>
  <si>
    <t>https://www.ncbi.nlm.nih.gov//geo/query/acc.cgi?acc=GSM993670</t>
  </si>
  <si>
    <t>LC_S28</t>
  </si>
  <si>
    <t>SAMEA1499276</t>
  </si>
  <si>
    <t>ERS167367</t>
  </si>
  <si>
    <t>ERR164610</t>
  </si>
  <si>
    <t>ftp.sra.ebi.ac.uk/vol1/fastq/ERR164/ERR164610/ERR164610_1.fastq.gz;ftp.sra.ebi.ac.uk/vol1/fastq/ERR164/ERR164610/ERR164610_2.fastq.gz</t>
  </si>
  <si>
    <t>ERX140488</t>
  </si>
  <si>
    <t>GSM993671</t>
  </si>
  <si>
    <t>https://www.ncbi.nlm.nih.gov//geo/query/acc.cgi?acc=GSM993671</t>
  </si>
  <si>
    <t>LC_S29</t>
  </si>
  <si>
    <t>SAMEA1499341</t>
  </si>
  <si>
    <t>ERS167368</t>
  </si>
  <si>
    <t>ERR164611</t>
  </si>
  <si>
    <t>ftp.sra.ebi.ac.uk/vol1/fastq/ERR164/ERR164611/ERR164611_1.fastq.gz;ftp.sra.ebi.ac.uk/vol1/fastq/ERR164/ERR164611/ERR164611_2.fastq.gz</t>
  </si>
  <si>
    <t>ERX140489</t>
  </si>
  <si>
    <t>GSM993672</t>
  </si>
  <si>
    <t>https://www.ncbi.nlm.nih.gov//geo/query/acc.cgi?acc=GSM993672</t>
  </si>
  <si>
    <t>LC_S30</t>
  </si>
  <si>
    <t>SAMEA1499310</t>
  </si>
  <si>
    <t>ERS167369</t>
  </si>
  <si>
    <t>ERR164612</t>
  </si>
  <si>
    <t>ftp.sra.ebi.ac.uk/vol1/fastq/ERR164/ERR164612/ERR164612_1.fastq.gz;ftp.sra.ebi.ac.uk/vol1/fastq/ERR164/ERR164612/ERR164612_2.fastq.gz</t>
  </si>
  <si>
    <t>ERX140490</t>
  </si>
  <si>
    <t>GSM993673</t>
  </si>
  <si>
    <t>https://www.ncbi.nlm.nih.gov//geo/query/acc.cgi?acc=GSM993673</t>
  </si>
  <si>
    <t>LC_S31</t>
  </si>
  <si>
    <t>SAMEA1499367</t>
  </si>
  <si>
    <t>ERS167370</t>
  </si>
  <si>
    <t>ERR164613</t>
  </si>
  <si>
    <t>ftp.sra.ebi.ac.uk/vol1/fastq/ERR164/ERR164613/ERR164613_1.fastq.gz;ftp.sra.ebi.ac.uk/vol1/fastq/ERR164/ERR164613/ERR164613_2.fastq.gz</t>
  </si>
  <si>
    <t>ERX140491</t>
  </si>
  <si>
    <t>GSM993674</t>
  </si>
  <si>
    <t>https://www.ncbi.nlm.nih.gov//geo/query/acc.cgi?acc=GSM993674</t>
  </si>
  <si>
    <t>LC_S32</t>
  </si>
  <si>
    <t>SAMEA1499237</t>
  </si>
  <si>
    <t>ERS167371</t>
  </si>
  <si>
    <t>ERR164614</t>
  </si>
  <si>
    <t>ftp.sra.ebi.ac.uk/vol1/fastq/ERR164/ERR164614/ERR164614_1.fastq.gz;ftp.sra.ebi.ac.uk/vol1/fastq/ERR164/ERR164614/ERR164614_2.fastq.gz</t>
  </si>
  <si>
    <t>ERX140492</t>
  </si>
  <si>
    <t>GSM993675</t>
  </si>
  <si>
    <t>https://www.ncbi.nlm.nih.gov//geo/query/acc.cgi?acc=GSM993675</t>
  </si>
  <si>
    <t>LC_S33</t>
  </si>
  <si>
    <t>SAMEA1499245</t>
  </si>
  <si>
    <t>ERS167372</t>
  </si>
  <si>
    <t>ERR164615</t>
  </si>
  <si>
    <t>ftp.sra.ebi.ac.uk/vol1/fastq/ERR164/ERR164615/ERR164615_1.fastq.gz;ftp.sra.ebi.ac.uk/vol1/fastq/ERR164/ERR164615/ERR164615_2.fastq.gz</t>
  </si>
  <si>
    <t>ERX140493</t>
  </si>
  <si>
    <t>GSM993676</t>
  </si>
  <si>
    <t>https://www.ncbi.nlm.nih.gov//geo/query/acc.cgi?acc=GSM993676</t>
  </si>
  <si>
    <t>LC_S34</t>
  </si>
  <si>
    <t>SAMEA1499265</t>
  </si>
  <si>
    <t>ERS167373</t>
  </si>
  <si>
    <t>ERR164616</t>
  </si>
  <si>
    <t>ftp.sra.ebi.ac.uk/vol1/fastq/ERR164/ERR164616/ERR164616_1.fastq.gz;ftp.sra.ebi.ac.uk/vol1/fastq/ERR164/ERR164616/ERR164616_2.fastq.gz</t>
  </si>
  <si>
    <t>ERX140494</t>
  </si>
  <si>
    <t>GSM993677</t>
  </si>
  <si>
    <t>https://www.ncbi.nlm.nih.gov//geo/query/acc.cgi?acc=GSM993677</t>
  </si>
  <si>
    <t>LC_S35</t>
  </si>
  <si>
    <t>SAMEA1499287</t>
  </si>
  <si>
    <t>ERS167374</t>
  </si>
  <si>
    <t>ERR164617</t>
  </si>
  <si>
    <t>ftp.sra.ebi.ac.uk/vol1/fastq/ERR164/ERR164617/ERR164617_1.fastq.gz;ftp.sra.ebi.ac.uk/vol1/fastq/ERR164/ERR164617/ERR164617_2.fastq.gz</t>
  </si>
  <si>
    <t>ERX140495</t>
  </si>
  <si>
    <t>GSM993678</t>
  </si>
  <si>
    <t>https://www.ncbi.nlm.nih.gov//geo/query/acc.cgi?acc=GSM993678</t>
  </si>
  <si>
    <t>LC_S36</t>
  </si>
  <si>
    <t>SAMEA1499293</t>
  </si>
  <si>
    <t>ERS167375</t>
  </si>
  <si>
    <t>ERR164618</t>
  </si>
  <si>
    <t>ftp.sra.ebi.ac.uk/vol1/fastq/ERR164/ERR164618/ERR164618_1.fastq.gz;ftp.sra.ebi.ac.uk/vol1/fastq/ERR164/ERR164618/ERR164618_2.fastq.gz</t>
  </si>
  <si>
    <t>ERX140496</t>
  </si>
  <si>
    <t>GSM993679</t>
  </si>
  <si>
    <t>https://www.ncbi.nlm.nih.gov//geo/query/acc.cgi?acc=GSM993679</t>
  </si>
  <si>
    <t>LC_S37</t>
  </si>
  <si>
    <t>SAMEA1499315</t>
  </si>
  <si>
    <t>ERS167376</t>
  </si>
  <si>
    <t>ERR164619</t>
  </si>
  <si>
    <t>ftp.sra.ebi.ac.uk/vol1/fastq/ERR164/ERR164619/ERR164619_1.fastq.gz;ftp.sra.ebi.ac.uk/vol1/fastq/ERR164/ERR164619/ERR164619_2.fastq.gz</t>
  </si>
  <si>
    <t>ERX140497</t>
  </si>
  <si>
    <t>GSM993680</t>
  </si>
  <si>
    <t>https://www.ncbi.nlm.nih.gov//geo/query/acc.cgi?acc=GSM993680</t>
  </si>
  <si>
    <t>LC_S38</t>
  </si>
  <si>
    <t>SAMEA1499335</t>
  </si>
  <si>
    <t>ERS167377</t>
  </si>
  <si>
    <t>ERR164620</t>
  </si>
  <si>
    <t>ftp.sra.ebi.ac.uk/vol1/fastq/ERR164/ERR164620/ERR164620_1.fastq.gz;ftp.sra.ebi.ac.uk/vol1/fastq/ERR164/ERR164620/ERR164620_2.fastq.gz</t>
  </si>
  <si>
    <t>ERX140498</t>
  </si>
  <si>
    <t>GSM993681</t>
  </si>
  <si>
    <t>https://www.ncbi.nlm.nih.gov//geo/query/acc.cgi?acc=GSM993681</t>
  </si>
  <si>
    <t>LC_S39</t>
  </si>
  <si>
    <t>SAMEA1499349</t>
  </si>
  <si>
    <t>ERS167378</t>
  </si>
  <si>
    <t>ERR164621</t>
  </si>
  <si>
    <t>ftp.sra.ebi.ac.uk/vol1/fastq/ERR164/ERR164621/ERR164621_1.fastq.gz;ftp.sra.ebi.ac.uk/vol1/fastq/ERR164/ERR164621/ERR164621_2.fastq.gz</t>
  </si>
  <si>
    <t>ERX140499</t>
  </si>
  <si>
    <t>GSM993682</t>
  </si>
  <si>
    <t>https://www.ncbi.nlm.nih.gov//geo/query/acc.cgi?acc=GSM993682</t>
  </si>
  <si>
    <t>LC_S40</t>
  </si>
  <si>
    <t>SAMEA1499371</t>
  </si>
  <si>
    <t>ERS167379</t>
  </si>
  <si>
    <t>ERR164622</t>
  </si>
  <si>
    <t>ftp.sra.ebi.ac.uk/vol1/fastq/ERR164/ERR164622/ERR164622_1.fastq.gz;ftp.sra.ebi.ac.uk/vol1/fastq/ERR164/ERR164622/ERR164622_2.fastq.gz</t>
  </si>
  <si>
    <t>ERX140500</t>
  </si>
  <si>
    <t>GSM993683</t>
  </si>
  <si>
    <t>https://www.ncbi.nlm.nih.gov//geo/query/acc.cgi?acc=GSM993683</t>
  </si>
  <si>
    <t>LC_S41</t>
  </si>
  <si>
    <t>SAMEA1499286</t>
  </si>
  <si>
    <t>ERS167380</t>
  </si>
  <si>
    <t>ERR164623</t>
  </si>
  <si>
    <t>ftp.sra.ebi.ac.uk/vol1/fastq/ERR164/ERR164623/ERR164623_1.fastq.gz;ftp.sra.ebi.ac.uk/vol1/fastq/ERR164/ERR164623/ERR164623_2.fastq.gz</t>
  </si>
  <si>
    <t>ERX140501</t>
  </si>
  <si>
    <t>GSM993684</t>
  </si>
  <si>
    <t>https://www.ncbi.nlm.nih.gov//geo/query/acc.cgi?acc=GSM993684</t>
  </si>
  <si>
    <t>LC_S42</t>
  </si>
  <si>
    <t>SAMEA1499221</t>
  </si>
  <si>
    <t>ERS167381</t>
  </si>
  <si>
    <t>ERR164624</t>
  </si>
  <si>
    <t>ftp.sra.ebi.ac.uk/vol1/fastq/ERR164/ERR164624/ERR164624_1.fastq.gz;ftp.sra.ebi.ac.uk/vol1/fastq/ERR164/ERR164624/ERR164624_2.fastq.gz</t>
  </si>
  <si>
    <t>ERX140502</t>
  </si>
  <si>
    <t>GSM993685</t>
  </si>
  <si>
    <t>https://www.ncbi.nlm.nih.gov//geo/query/acc.cgi?acc=GSM993685</t>
  </si>
  <si>
    <t>LC_S43</t>
  </si>
  <si>
    <t>SAMEA1499246</t>
  </si>
  <si>
    <t>ERS167382</t>
  </si>
  <si>
    <t>ERR164625</t>
  </si>
  <si>
    <t>ftp.sra.ebi.ac.uk/vol1/fastq/ERR164/ERR164625/ERR164625_1.fastq.gz;ftp.sra.ebi.ac.uk/vol1/fastq/ERR164/ERR164625/ERR164625_2.fastq.gz</t>
  </si>
  <si>
    <t>ERX140503</t>
  </si>
  <si>
    <t>GSM993686</t>
  </si>
  <si>
    <t>https://www.ncbi.nlm.nih.gov//geo/query/acc.cgi?acc=GSM993686</t>
  </si>
  <si>
    <t>LC_S44</t>
  </si>
  <si>
    <t>SAMEA1499353</t>
  </si>
  <si>
    <t>ERS167383</t>
  </si>
  <si>
    <t>ERR164626</t>
  </si>
  <si>
    <t>ftp.sra.ebi.ac.uk/vol1/fastq/ERR164/ERR164626/ERR164626_1.fastq.gz;ftp.sra.ebi.ac.uk/vol1/fastq/ERR164/ERR164626/ERR164626_2.fastq.gz</t>
  </si>
  <si>
    <t>ERX140504</t>
  </si>
  <si>
    <t>GSM993687</t>
  </si>
  <si>
    <t>https://www.ncbi.nlm.nih.gov//geo/query/acc.cgi?acc=GSM993687</t>
  </si>
  <si>
    <t>LC_S45</t>
  </si>
  <si>
    <t>SAMEA1499372</t>
  </si>
  <si>
    <t>ERS167384</t>
  </si>
  <si>
    <t>ERR164627</t>
  </si>
  <si>
    <t>ftp.sra.ebi.ac.uk/vol1/fastq/ERR164/ERR164627/ERR164627_1.fastq.gz;ftp.sra.ebi.ac.uk/vol1/fastq/ERR164/ERR164627/ERR164627_2.fastq.gz</t>
  </si>
  <si>
    <t>ERX140505</t>
  </si>
  <si>
    <t>GSM993688</t>
  </si>
  <si>
    <t>https://www.ncbi.nlm.nih.gov//geo/query/acc.cgi?acc=GSM993688</t>
  </si>
  <si>
    <t>LC_S46</t>
  </si>
  <si>
    <t>SAMEA1499316</t>
  </si>
  <si>
    <t>ERS167385</t>
  </si>
  <si>
    <t>ERR164628</t>
  </si>
  <si>
    <t>ftp.sra.ebi.ac.uk/vol1/fastq/ERR164/ERR164628/ERR164628_1.fastq.gz;ftp.sra.ebi.ac.uk/vol1/fastq/ERR164/ERR164628/ERR164628_2.fastq.gz</t>
  </si>
  <si>
    <t>ERX140506</t>
  </si>
  <si>
    <t>GSM993689</t>
  </si>
  <si>
    <t>https://www.ncbi.nlm.nih.gov//geo/query/acc.cgi?acc=GSM993689</t>
  </si>
  <si>
    <t>LC_S47</t>
  </si>
  <si>
    <t>SAMEA1499303</t>
  </si>
  <si>
    <t>ERS167386</t>
  </si>
  <si>
    <t>ERR164629</t>
  </si>
  <si>
    <t>ftp.sra.ebi.ac.uk/vol1/fastq/ERR164/ERR164629/ERR164629_1.fastq.gz;ftp.sra.ebi.ac.uk/vol1/fastq/ERR164/ERR164629/ERR164629_2.fastq.gz</t>
  </si>
  <si>
    <t>ERX140507</t>
  </si>
  <si>
    <t>GSM993690</t>
  </si>
  <si>
    <t>https://www.ncbi.nlm.nih.gov//geo/query/acc.cgi?acc=GSM993690</t>
  </si>
  <si>
    <t>LC_S48</t>
  </si>
  <si>
    <t>SAMEA1499319</t>
  </si>
  <si>
    <t>ERS167387</t>
  </si>
  <si>
    <t>ERR164630</t>
  </si>
  <si>
    <t>ftp.sra.ebi.ac.uk/vol1/fastq/ERR164/ERR164630/ERR164630_1.fastq.gz;ftp.sra.ebi.ac.uk/vol1/fastq/ERR164/ERR164630/ERR164630_2.fastq.gz</t>
  </si>
  <si>
    <t>ERX140508</t>
  </si>
  <si>
    <t>GSM993691</t>
  </si>
  <si>
    <t>https://www.ncbi.nlm.nih.gov//geo/query/acc.cgi?acc=GSM993691</t>
  </si>
  <si>
    <t>LC_S49</t>
  </si>
  <si>
    <t>SAMEA1499273</t>
  </si>
  <si>
    <t>ERS167388</t>
  </si>
  <si>
    <t>ERR164631</t>
  </si>
  <si>
    <t>ftp.sra.ebi.ac.uk/vol1/fastq/ERR164/ERR164631/ERR164631_1.fastq.gz;ftp.sra.ebi.ac.uk/vol1/fastq/ERR164/ERR164631/ERR164631_2.fastq.gz</t>
  </si>
  <si>
    <t>ERX140509</t>
  </si>
  <si>
    <t>GSM993692</t>
  </si>
  <si>
    <t>https://www.ncbi.nlm.nih.gov//geo/query/acc.cgi?acc=GSM993692</t>
  </si>
  <si>
    <t>LC_S50</t>
  </si>
  <si>
    <t>SAMEA1499285</t>
  </si>
  <si>
    <t>ERS167389</t>
  </si>
  <si>
    <t>ERR164632</t>
  </si>
  <si>
    <t>ftp.sra.ebi.ac.uk/vol1/fastq/ERR164/ERR164632/ERR164632_1.fastq.gz;ftp.sra.ebi.ac.uk/vol1/fastq/ERR164/ERR164632/ERR164632_2.fastq.gz</t>
  </si>
  <si>
    <t>ERX140510</t>
  </si>
  <si>
    <t>GSM993693</t>
  </si>
  <si>
    <t>https://www.ncbi.nlm.nih.gov//geo/query/acc.cgi?acc=GSM993693</t>
  </si>
  <si>
    <t>LC_S51</t>
  </si>
  <si>
    <t>SAMEA1499252</t>
  </si>
  <si>
    <t>ERS167390</t>
  </si>
  <si>
    <t>ERR164633</t>
  </si>
  <si>
    <t>ftp.sra.ebi.ac.uk/vol1/fastq/ERR164/ERR164633/ERR164633_1.fastq.gz;ftp.sra.ebi.ac.uk/vol1/fastq/ERR164/ERR164633/ERR164633_2.fastq.gz</t>
  </si>
  <si>
    <t>ERX140511</t>
  </si>
  <si>
    <t>GSM993694</t>
  </si>
  <si>
    <t>https://www.ncbi.nlm.nih.gov//geo/query/acc.cgi?acc=GSM993694</t>
  </si>
  <si>
    <t>LC_S52</t>
  </si>
  <si>
    <t>SAMEA1499247</t>
  </si>
  <si>
    <t>ERS167391</t>
  </si>
  <si>
    <t>ERR164634</t>
  </si>
  <si>
    <t>ftp.sra.ebi.ac.uk/vol1/fastq/ERR164/ERR164634/ERR164634_1.fastq.gz;ftp.sra.ebi.ac.uk/vol1/fastq/ERR164/ERR164634/ERR164634_2.fastq.gz</t>
  </si>
  <si>
    <t>ERX140350</t>
  </si>
  <si>
    <t>GSM993695</t>
  </si>
  <si>
    <t>https://www.ncbi.nlm.nih.gov//geo/query/acc.cgi?acc=GSM993695</t>
  </si>
  <si>
    <t>LC_C1_nor</t>
  </si>
  <si>
    <t>SAMEA1499361</t>
  </si>
  <si>
    <t>ERS158730</t>
  </si>
  <si>
    <t>ERR164473</t>
  </si>
  <si>
    <t>ftp.sra.ebi.ac.uk/vol1/fastq/ERR164/ERR164473/ERR164473_1.fastq.gz;ftp.sra.ebi.ac.uk/vol1/fastq/ERR164/ERR164473/ERR164473_2.fastq.gz</t>
  </si>
  <si>
    <t>ERX140351</t>
  </si>
  <si>
    <t>GSM993696</t>
  </si>
  <si>
    <t>https://www.ncbi.nlm.nih.gov//geo/query/acc.cgi?acc=GSM993696</t>
  </si>
  <si>
    <t>LC_C2_nor</t>
  </si>
  <si>
    <t>SAMEA1499337</t>
  </si>
  <si>
    <t>ERS158731</t>
  </si>
  <si>
    <t>ERR164474</t>
  </si>
  <si>
    <t>ftp.sra.ebi.ac.uk/vol1/fastq/ERR164/ERR164474/ERR164474_1.fastq.gz;ftp.sra.ebi.ac.uk/vol1/fastq/ERR164/ERR164474/ERR164474_2.fastq.gz</t>
  </si>
  <si>
    <t>ERX140352</t>
  </si>
  <si>
    <t>GSM993697</t>
  </si>
  <si>
    <t>https://www.ncbi.nlm.nih.gov//geo/query/acc.cgi?acc=GSM993697</t>
  </si>
  <si>
    <t>LC_C3_nor</t>
  </si>
  <si>
    <t>SAMEA1499309</t>
  </si>
  <si>
    <t>ERS158732</t>
  </si>
  <si>
    <t>ERR164475</t>
  </si>
  <si>
    <t>ftp.sra.ebi.ac.uk/vol1/fastq/ERR164/ERR164475/ERR164475_1.fastq.gz;ftp.sra.ebi.ac.uk/vol1/fastq/ERR164/ERR164475/ERR164475_2.fastq.gz</t>
  </si>
  <si>
    <t>ERX140353</t>
  </si>
  <si>
    <t>GSM993698</t>
  </si>
  <si>
    <t>https://www.ncbi.nlm.nih.gov//geo/query/acc.cgi?acc=GSM993698</t>
  </si>
  <si>
    <t>LC_C5_nor</t>
  </si>
  <si>
    <t>SAMEA1499301</t>
  </si>
  <si>
    <t>ERS158733</t>
  </si>
  <si>
    <t>ERR164476</t>
  </si>
  <si>
    <t>ftp.sra.ebi.ac.uk/vol1/fastq/ERR164/ERR164476/ERR164476_1.fastq.gz;ftp.sra.ebi.ac.uk/vol1/fastq/ERR164/ERR164476/ERR164476_2.fastq.gz</t>
  </si>
  <si>
    <t>ERX140354</t>
  </si>
  <si>
    <t>GSM993699</t>
  </si>
  <si>
    <t>https://www.ncbi.nlm.nih.gov//geo/query/acc.cgi?acc=GSM993699</t>
  </si>
  <si>
    <t>LC_C7_nor</t>
  </si>
  <si>
    <t>SAMEA1499281</t>
  </si>
  <si>
    <t>ERS158734</t>
  </si>
  <si>
    <t>ERR164477</t>
  </si>
  <si>
    <t>ftp.sra.ebi.ac.uk/vol1/fastq/ERR164/ERR164477/ERR164477_1.fastq.gz;ftp.sra.ebi.ac.uk/vol1/fastq/ERR164/ERR164477/ERR164477_2.fastq.gz</t>
  </si>
  <si>
    <t>ERX140355</t>
  </si>
  <si>
    <t>GSM993700</t>
  </si>
  <si>
    <t>https://www.ncbi.nlm.nih.gov//geo/query/acc.cgi?acc=GSM993700</t>
  </si>
  <si>
    <t>LC_C9_nor</t>
  </si>
  <si>
    <t>SAMEA1499256</t>
  </si>
  <si>
    <t>ERS158735</t>
  </si>
  <si>
    <t>ERR164478</t>
  </si>
  <si>
    <t>ftp.sra.ebi.ac.uk/vol1/fastq/ERR164/ERR164478/ERR164478_1.fastq.gz;ftp.sra.ebi.ac.uk/vol1/fastq/ERR164/ERR164478/ERR164478_2.fastq.gz</t>
  </si>
  <si>
    <t>ERX140356</t>
  </si>
  <si>
    <t>GSM993701</t>
  </si>
  <si>
    <t>https://www.ncbi.nlm.nih.gov//geo/query/acc.cgi?acc=GSM993701</t>
  </si>
  <si>
    <t>LC_C10_nor</t>
  </si>
  <si>
    <t>SAMEA1499243</t>
  </si>
  <si>
    <t>ERS158736</t>
  </si>
  <si>
    <t>ERR164479</t>
  </si>
  <si>
    <t>ftp.sra.ebi.ac.uk/vol1/fastq/ERR164/ERR164479/ERR164479_1.fastq.gz;ftp.sra.ebi.ac.uk/vol1/fastq/ERR164/ERR164479/ERR164479_2.fastq.gz</t>
  </si>
  <si>
    <t>ERX140357</t>
  </si>
  <si>
    <t>GSM993702</t>
  </si>
  <si>
    <t>https://www.ncbi.nlm.nih.gov//geo/query/acc.cgi?acc=GSM993702</t>
  </si>
  <si>
    <t>LC_C11_nor</t>
  </si>
  <si>
    <t>SAMEA1499228</t>
  </si>
  <si>
    <t>ERS158737</t>
  </si>
  <si>
    <t>ERR164480</t>
  </si>
  <si>
    <t>ftp.sra.ebi.ac.uk/vol1/fastq/ERR164/ERR164480/ERR164480_1.fastq.gz;ftp.sra.ebi.ac.uk/vol1/fastq/ERR164/ERR164480/ERR164480_2.fastq.gz</t>
  </si>
  <si>
    <t>ERX140358</t>
  </si>
  <si>
    <t>GSM993703</t>
  </si>
  <si>
    <t>https://www.ncbi.nlm.nih.gov//geo/query/acc.cgi?acc=GSM993703</t>
  </si>
  <si>
    <t>LC_C12_nor</t>
  </si>
  <si>
    <t>SAMEA1499368</t>
  </si>
  <si>
    <t>ERS158738</t>
  </si>
  <si>
    <t>ERR164481</t>
  </si>
  <si>
    <t>ftp.sra.ebi.ac.uk/vol1/fastq/ERR164/ERR164481/ERR164481_1.fastq.gz;ftp.sra.ebi.ac.uk/vol1/fastq/ERR164/ERR164481/ERR164481_2.fastq.gz</t>
  </si>
  <si>
    <t>ERX140359</t>
  </si>
  <si>
    <t>GSM993704</t>
  </si>
  <si>
    <t>https://www.ncbi.nlm.nih.gov//geo/query/acc.cgi?acc=GSM993704</t>
  </si>
  <si>
    <t>LC_C14_nor</t>
  </si>
  <si>
    <t>SAMEA1499356</t>
  </si>
  <si>
    <t>ERS158739</t>
  </si>
  <si>
    <t>ERR164482</t>
  </si>
  <si>
    <t>ftp.sra.ebi.ac.uk/vol1/fastq/ERR164/ERR164482/ERR164482_1.fastq.gz;ftp.sra.ebi.ac.uk/vol1/fastq/ERR164/ERR164482/ERR164482_2.fastq.gz</t>
  </si>
  <si>
    <t>ERX140360</t>
  </si>
  <si>
    <t>GSM993705</t>
  </si>
  <si>
    <t>https://www.ncbi.nlm.nih.gov//geo/query/acc.cgi?acc=GSM993705</t>
  </si>
  <si>
    <t>LC_C16_nor</t>
  </si>
  <si>
    <t>SAMEA1499295</t>
  </si>
  <si>
    <t>ERS158740</t>
  </si>
  <si>
    <t>ERR164483</t>
  </si>
  <si>
    <t>ftp.sra.ebi.ac.uk/vol1/fastq/ERR164/ERR164483/ERR164483_1.fastq.gz;ftp.sra.ebi.ac.uk/vol1/fastq/ERR164/ERR164483/ERR164483_2.fastq.gz</t>
  </si>
  <si>
    <t>ERX140361</t>
  </si>
  <si>
    <t>GSM993706</t>
  </si>
  <si>
    <t>https://www.ncbi.nlm.nih.gov//geo/query/acc.cgi?acc=GSM993706</t>
  </si>
  <si>
    <t>LC_C17_nor</t>
  </si>
  <si>
    <t>SAMEA1499330</t>
  </si>
  <si>
    <t>ERS158741</t>
  </si>
  <si>
    <t>ERR164484</t>
  </si>
  <si>
    <t>ftp.sra.ebi.ac.uk/vol1/fastq/ERR164/ERR164484/ERR164484_1.fastq.gz;ftp.sra.ebi.ac.uk/vol1/fastq/ERR164/ERR164484/ERR164484_2.fastq.gz</t>
  </si>
  <si>
    <t>ERX140362</t>
  </si>
  <si>
    <t>GSM993707</t>
  </si>
  <si>
    <t>https://www.ncbi.nlm.nih.gov//geo/query/acc.cgi?acc=GSM993707</t>
  </si>
  <si>
    <t>LC_C18_nor</t>
  </si>
  <si>
    <t>SAMEA1499304</t>
  </si>
  <si>
    <t>ERS158742</t>
  </si>
  <si>
    <t>ERR164485</t>
  </si>
  <si>
    <t>ftp.sra.ebi.ac.uk/vol1/fastq/ERR164/ERR164485/ERR164485_1.fastq.gz;ftp.sra.ebi.ac.uk/vol1/fastq/ERR164/ERR164485/ERR164485_2.fastq.gz</t>
  </si>
  <si>
    <t>ERX140363</t>
  </si>
  <si>
    <t>GSM993708</t>
  </si>
  <si>
    <t>https://www.ncbi.nlm.nih.gov//geo/query/acc.cgi?acc=GSM993708</t>
  </si>
  <si>
    <t>LC_C19_nor</t>
  </si>
  <si>
    <t>SAMEA1499377</t>
  </si>
  <si>
    <t>ERS158743</t>
  </si>
  <si>
    <t>ERR164486</t>
  </si>
  <si>
    <t>ftp.sra.ebi.ac.uk/vol1/fastq/ERR164/ERR164486/ERR164486_1.fastq.gz;ftp.sra.ebi.ac.uk/vol1/fastq/ERR164/ERR164486/ERR164486_2.fastq.gz</t>
  </si>
  <si>
    <t>ERX140364</t>
  </si>
  <si>
    <t>GSM993709</t>
  </si>
  <si>
    <t>https://www.ncbi.nlm.nih.gov//geo/query/acc.cgi?acc=GSM993709</t>
  </si>
  <si>
    <t>LC_C20_nor</t>
  </si>
  <si>
    <t>SAMEA1499360</t>
  </si>
  <si>
    <t>ERS158744</t>
  </si>
  <si>
    <t>ERR164487</t>
  </si>
  <si>
    <t>ftp.sra.ebi.ac.uk/vol1/fastq/ERR164/ERR164487/ERR164487_1.fastq.gz;ftp.sra.ebi.ac.uk/vol1/fastq/ERR164/ERR164487/ERR164487_2.fastq.gz</t>
  </si>
  <si>
    <t>ERX140365</t>
  </si>
  <si>
    <t>GSM993710</t>
  </si>
  <si>
    <t>https://www.ncbi.nlm.nih.gov//geo/query/acc.cgi?acc=GSM993710</t>
  </si>
  <si>
    <t>LC_C21_nor</t>
  </si>
  <si>
    <t>SAMEA1499259</t>
  </si>
  <si>
    <t>ERS158745</t>
  </si>
  <si>
    <t>ERR164488</t>
  </si>
  <si>
    <t>ftp.sra.ebi.ac.uk/vol1/fastq/ERR164/ERR164488/ERR164488_1.fastq.gz;ftp.sra.ebi.ac.uk/vol1/fastq/ERR164/ERR164488/ERR164488_2.fastq.gz</t>
  </si>
  <si>
    <t>ERX140366</t>
  </si>
  <si>
    <t>GSM993711</t>
  </si>
  <si>
    <t>https://www.ncbi.nlm.nih.gov//geo/query/acc.cgi?acc=GSM993711</t>
  </si>
  <si>
    <t>LC_C22_nor</t>
  </si>
  <si>
    <t>SAMEA1499238</t>
  </si>
  <si>
    <t>ERS158746</t>
  </si>
  <si>
    <t>ERR164489</t>
  </si>
  <si>
    <t>ftp.sra.ebi.ac.uk/vol1/fastq/ERR164/ERR164489/ERR164489_1.fastq.gz;ftp.sra.ebi.ac.uk/vol1/fastq/ERR164/ERR164489/ERR164489_2.fastq.gz</t>
  </si>
  <si>
    <t>ERX140367</t>
  </si>
  <si>
    <t>GSM993712</t>
  </si>
  <si>
    <t>https://www.ncbi.nlm.nih.gov//geo/query/acc.cgi?acc=GSM993712</t>
  </si>
  <si>
    <t>LC_C24_nor</t>
  </si>
  <si>
    <t>SAMEA1499225</t>
  </si>
  <si>
    <t>ERS158747</t>
  </si>
  <si>
    <t>ERR164490</t>
  </si>
  <si>
    <t>ftp.sra.ebi.ac.uk/vol1/fastq/ERR164/ERR164490/ERR164490_1.fastq.gz;ftp.sra.ebi.ac.uk/vol1/fastq/ERR164/ERR164490/ERR164490_2.fastq.gz</t>
  </si>
  <si>
    <t>ERX140368</t>
  </si>
  <si>
    <t>GSM993713</t>
  </si>
  <si>
    <t>https://www.ncbi.nlm.nih.gov//geo/query/acc.cgi?acc=GSM993713</t>
  </si>
  <si>
    <t>LC_C25_nor</t>
  </si>
  <si>
    <t>SAMEA1499290</t>
  </si>
  <si>
    <t>ERS158748</t>
  </si>
  <si>
    <t>ERR164491</t>
  </si>
  <si>
    <t>ftp.sra.ebi.ac.uk/vol1/fastq/ERR164/ERR164491/ERR164491_1.fastq.gz;ftp.sra.ebi.ac.uk/vol1/fastq/ERR164/ERR164491/ERR164491_2.fastq.gz</t>
  </si>
  <si>
    <t>ERX140369</t>
  </si>
  <si>
    <t>GSM993714</t>
  </si>
  <si>
    <t>https://www.ncbi.nlm.nih.gov//geo/query/acc.cgi?acc=GSM993714</t>
  </si>
  <si>
    <t>LC_C28_nor</t>
  </si>
  <si>
    <t>SAMEA1499267</t>
  </si>
  <si>
    <t>ERS158749</t>
  </si>
  <si>
    <t>ERR164492</t>
  </si>
  <si>
    <t>ftp.sra.ebi.ac.uk/vol1/fastq/ERR164/ERR164492/ERR164492_1.fastq.gz;ftp.sra.ebi.ac.uk/vol1/fastq/ERR164/ERR164492/ERR164492_2.fastq.gz</t>
  </si>
  <si>
    <t>ERX140370</t>
  </si>
  <si>
    <t>GSM993715</t>
  </si>
  <si>
    <t>https://www.ncbi.nlm.nih.gov//geo/query/acc.cgi?acc=GSM993715</t>
  </si>
  <si>
    <t>LC_C29_nor</t>
  </si>
  <si>
    <t>SAMEA1499308</t>
  </si>
  <si>
    <t>ERS158750</t>
  </si>
  <si>
    <t>ERR164493</t>
  </si>
  <si>
    <t>ftp.sra.ebi.ac.uk/vol1/fastq/ERR164/ERR164493/ERR164493_1.fastq.gz;ftp.sra.ebi.ac.uk/vol1/fastq/ERR164/ERR164493/ERR164493_2.fastq.gz</t>
  </si>
  <si>
    <t>ERX140371</t>
  </si>
  <si>
    <t>GSM993716</t>
  </si>
  <si>
    <t>https://www.ncbi.nlm.nih.gov//geo/query/acc.cgi?acc=GSM993716</t>
  </si>
  <si>
    <t>LC_C30_nor</t>
  </si>
  <si>
    <t>SAMEA1499312</t>
  </si>
  <si>
    <t>ERS158751</t>
  </si>
  <si>
    <t>ERR164494</t>
  </si>
  <si>
    <t>ftp.sra.ebi.ac.uk/vol1/fastq/ERR164/ERR164494/ERR164494_1.fastq.gz;ftp.sra.ebi.ac.uk/vol1/fastq/ERR164/ERR164494/ERR164494_2.fastq.gz</t>
  </si>
  <si>
    <t>ERX140372</t>
  </si>
  <si>
    <t>GSM993717</t>
  </si>
  <si>
    <t>https://www.ncbi.nlm.nih.gov//geo/query/acc.cgi?acc=GSM993717</t>
  </si>
  <si>
    <t>LC_C31_nor</t>
  </si>
  <si>
    <t>SAMEA1499338</t>
  </si>
  <si>
    <t>ERS158752</t>
  </si>
  <si>
    <t>ERR164495</t>
  </si>
  <si>
    <t>ftp.sra.ebi.ac.uk/vol1/fastq/ERR164/ERR164495/ERR164495_1.fastq.gz;ftp.sra.ebi.ac.uk/vol1/fastq/ERR164/ERR164495/ERR164495_2.fastq.gz</t>
  </si>
  <si>
    <t>ERX140373</t>
  </si>
  <si>
    <t>GSM993718</t>
  </si>
  <si>
    <t>https://www.ncbi.nlm.nih.gov//geo/query/acc.cgi?acc=GSM993718</t>
  </si>
  <si>
    <t>LC_C33_nor</t>
  </si>
  <si>
    <t>SAMEA1499274</t>
  </si>
  <si>
    <t>ERS158753</t>
  </si>
  <si>
    <t>ERR164496</t>
  </si>
  <si>
    <t>ftp.sra.ebi.ac.uk/vol1/fastq/ERR164/ERR164496/ERR164496_1.fastq.gz;ftp.sra.ebi.ac.uk/vol1/fastq/ERR164/ERR164496/ERR164496_2.fastq.gz</t>
  </si>
  <si>
    <t>ERX140374</t>
  </si>
  <si>
    <t>GSM993719</t>
  </si>
  <si>
    <t>https://www.ncbi.nlm.nih.gov//geo/query/acc.cgi?acc=GSM993719</t>
  </si>
  <si>
    <t>LC_C34_nor</t>
  </si>
  <si>
    <t>SAMEA1499289</t>
  </si>
  <si>
    <t>ERS158754</t>
  </si>
  <si>
    <t>ERR164497</t>
  </si>
  <si>
    <t>ftp.sra.ebi.ac.uk/vol1/fastq/ERR164/ERR164497/ERR164497_1.fastq.gz;ftp.sra.ebi.ac.uk/vol1/fastq/ERR164/ERR164497/ERR164497_2.fastq.gz</t>
  </si>
  <si>
    <t>ERX140375</t>
  </si>
  <si>
    <t>GSM993720</t>
  </si>
  <si>
    <t>https://www.ncbi.nlm.nih.gov//geo/query/acc.cgi?acc=GSM993720</t>
  </si>
  <si>
    <t>LC_C35_nor</t>
  </si>
  <si>
    <t>SAMEA1499229</t>
  </si>
  <si>
    <t>ERS158755</t>
  </si>
  <si>
    <t>ERR164498</t>
  </si>
  <si>
    <t>ftp.sra.ebi.ac.uk/vol1/fastq/ERR164/ERR164498/ERR164498_1.fastq.gz;ftp.sra.ebi.ac.uk/vol1/fastq/ERR164/ERR164498/ERR164498_2.fastq.gz</t>
  </si>
  <si>
    <t>ERX140376</t>
  </si>
  <si>
    <t>GSM993721</t>
  </si>
  <si>
    <t>https://www.ncbi.nlm.nih.gov//geo/query/acc.cgi?acc=GSM993721</t>
  </si>
  <si>
    <t>LC_C36_nor</t>
  </si>
  <si>
    <t>SAMEA1499242</t>
  </si>
  <si>
    <t>ERS158756</t>
  </si>
  <si>
    <t>ERR164499</t>
  </si>
  <si>
    <t>ftp.sra.ebi.ac.uk/vol1/fastq/ERR164/ERR164499/ERR164499_1.fastq.gz;ftp.sra.ebi.ac.uk/vol1/fastq/ERR164/ERR164499/ERR164499_2.fastq.gz</t>
  </si>
  <si>
    <t>ERX140377</t>
  </si>
  <si>
    <t>GSM993722</t>
  </si>
  <si>
    <t>https://www.ncbi.nlm.nih.gov//geo/query/acc.cgi?acc=GSM993722</t>
  </si>
  <si>
    <t>LC_S1_nor</t>
  </si>
  <si>
    <t>SAMEA1499379</t>
  </si>
  <si>
    <t>ERS158757</t>
  </si>
  <si>
    <t>ERR164500</t>
  </si>
  <si>
    <t>ftp.sra.ebi.ac.uk/vol1/fastq/ERR164/ERR164500/ERR164500_1.fastq.gz;ftp.sra.ebi.ac.uk/vol1/fastq/ERR164/ERR164500/ERR164500_2.fastq.gz</t>
  </si>
  <si>
    <t>ERX140378</t>
  </si>
  <si>
    <t>GSM993723</t>
  </si>
  <si>
    <t>https://www.ncbi.nlm.nih.gov//geo/query/acc.cgi?acc=GSM993723</t>
  </si>
  <si>
    <t>LC_S2_nor</t>
  </si>
  <si>
    <t>SAMEA1499369</t>
  </si>
  <si>
    <t>ERS158758</t>
  </si>
  <si>
    <t>ERR164501</t>
  </si>
  <si>
    <t>ftp.sra.ebi.ac.uk/vol1/fastq/ERR164/ERR164501/ERR164501_1.fastq.gz;ftp.sra.ebi.ac.uk/vol1/fastq/ERR164/ERR164501/ERR164501_2.fastq.gz</t>
  </si>
  <si>
    <t>ERX140379</t>
  </si>
  <si>
    <t>GSM993724</t>
  </si>
  <si>
    <t>https://www.ncbi.nlm.nih.gov//geo/query/acc.cgi?acc=GSM993724</t>
  </si>
  <si>
    <t>LC_S3_nor</t>
  </si>
  <si>
    <t>SAMEA1499348</t>
  </si>
  <si>
    <t>ERS158759</t>
  </si>
  <si>
    <t>ERR164502</t>
  </si>
  <si>
    <t>ftp.sra.ebi.ac.uk/vol1/fastq/ERR164/ERR164502/ERR164502_1.fastq.gz;ftp.sra.ebi.ac.uk/vol1/fastq/ERR164/ERR164502/ERR164502_2.fastq.gz</t>
  </si>
  <si>
    <t>ERX140380</t>
  </si>
  <si>
    <t>GSM993725</t>
  </si>
  <si>
    <t>https://www.ncbi.nlm.nih.gov//geo/query/acc.cgi?acc=GSM993725</t>
  </si>
  <si>
    <t>LC_S4_nor</t>
  </si>
  <si>
    <t>SAMEA1499318</t>
  </si>
  <si>
    <t>ERS158760</t>
  </si>
  <si>
    <t>ERR164503</t>
  </si>
  <si>
    <t>ftp.sra.ebi.ac.uk/vol1/fastq/ERR164/ERR164503/ERR164503_1.fastq.gz;ftp.sra.ebi.ac.uk/vol1/fastq/ERR164/ERR164503/ERR164503_2.fastq.gz</t>
  </si>
  <si>
    <t>ERX140381</t>
  </si>
  <si>
    <t>GSM993726</t>
  </si>
  <si>
    <t>https://www.ncbi.nlm.nih.gov//geo/query/acc.cgi?acc=GSM993726</t>
  </si>
  <si>
    <t>LC_S5_nor</t>
  </si>
  <si>
    <t>SAMEA1499307</t>
  </si>
  <si>
    <t>ERS158761</t>
  </si>
  <si>
    <t>ERR164504</t>
  </si>
  <si>
    <t>ftp.sra.ebi.ac.uk/vol1/fastq/ERR164/ERR164504/ERR164504_1.fastq.gz;ftp.sra.ebi.ac.uk/vol1/fastq/ERR164/ERR164504/ERR164504_2.fastq.gz</t>
  </si>
  <si>
    <t>ERX140382</t>
  </si>
  <si>
    <t>GSM993727</t>
  </si>
  <si>
    <t>https://www.ncbi.nlm.nih.gov//geo/query/acc.cgi?acc=GSM993727</t>
  </si>
  <si>
    <t>LC_S6_nor</t>
  </si>
  <si>
    <t>SAMEA1499314</t>
  </si>
  <si>
    <t>ERS158762</t>
  </si>
  <si>
    <t>ERR164505</t>
  </si>
  <si>
    <t>ftp.sra.ebi.ac.uk/vol1/fastq/ERR164/ERR164505/ERR164505_1.fastq.gz;ftp.sra.ebi.ac.uk/vol1/fastq/ERR164/ERR164505/ERR164505_2.fastq.gz</t>
  </si>
  <si>
    <t>ERX140383</t>
  </si>
  <si>
    <t>GSM993728</t>
  </si>
  <si>
    <t>https://www.ncbi.nlm.nih.gov//geo/query/acc.cgi?acc=GSM993728</t>
  </si>
  <si>
    <t>LC_S8_nor</t>
  </si>
  <si>
    <t>SAMEA1499248</t>
  </si>
  <si>
    <t>ERS167309</t>
  </si>
  <si>
    <t>ERR164506</t>
  </si>
  <si>
    <t>ftp.sra.ebi.ac.uk/vol1/fastq/ERR164/ERR164506/ERR164506_1.fastq.gz;ftp.sra.ebi.ac.uk/vol1/fastq/ERR164/ERR164506/ERR164506_2.fastq.gz</t>
  </si>
  <si>
    <t>ERX140384</t>
  </si>
  <si>
    <t>GSM993729</t>
  </si>
  <si>
    <t>https://www.ncbi.nlm.nih.gov//geo/query/acc.cgi?acc=GSM993729</t>
  </si>
  <si>
    <t>LC_S9_nor</t>
  </si>
  <si>
    <t>SAMEA1499375</t>
  </si>
  <si>
    <t>ERS158763</t>
  </si>
  <si>
    <t>ERR164507</t>
  </si>
  <si>
    <t>ftp.sra.ebi.ac.uk/vol1/fastq/ERR164/ERR164507/ERR164507_1.fastq.gz;ftp.sra.ebi.ac.uk/vol1/fastq/ERR164/ERR164507/ERR164507_2.fastq.gz</t>
  </si>
  <si>
    <t>ERX140385</t>
  </si>
  <si>
    <t>GSM993730</t>
  </si>
  <si>
    <t>https://www.ncbi.nlm.nih.gov//geo/query/acc.cgi?acc=GSM993730</t>
  </si>
  <si>
    <t>LC_S10_nor</t>
  </si>
  <si>
    <t>SAMEA1499354</t>
  </si>
  <si>
    <t>ERS158764</t>
  </si>
  <si>
    <t>ERR164508</t>
  </si>
  <si>
    <t>ftp.sra.ebi.ac.uk/vol1/fastq/ERR164/ERR164508/ERR164508_1.fastq.gz;ftp.sra.ebi.ac.uk/vol1/fastq/ERR164/ERR164508/ERR164508_2.fastq.gz</t>
  </si>
  <si>
    <t>ERX140386</t>
  </si>
  <si>
    <t>GSM993731</t>
  </si>
  <si>
    <t>https://www.ncbi.nlm.nih.gov//geo/query/acc.cgi?acc=GSM993731</t>
  </si>
  <si>
    <t>LC_S11_nor</t>
  </si>
  <si>
    <t>SAMEA1499262</t>
  </si>
  <si>
    <t>ERS158765</t>
  </si>
  <si>
    <t>ERR164509</t>
  </si>
  <si>
    <t>ftp.sra.ebi.ac.uk/vol1/fastq/ERR164/ERR164509/ERR164509_1.fastq.gz;ftp.sra.ebi.ac.uk/vol1/fastq/ERR164/ERR164509/ERR164509_2.fastq.gz</t>
  </si>
  <si>
    <t>ERX140387</t>
  </si>
  <si>
    <t>GSM993732</t>
  </si>
  <si>
    <t>https://www.ncbi.nlm.nih.gov//geo/query/acc.cgi?acc=GSM993732</t>
  </si>
  <si>
    <t>LC_S13_nor</t>
  </si>
  <si>
    <t>SAMEA1499236</t>
  </si>
  <si>
    <t>ERS158766</t>
  </si>
  <si>
    <t>ERR164510</t>
  </si>
  <si>
    <t>ftp.sra.ebi.ac.uk/vol1/fastq/ERR164/ERR164510/ERR164510_1.fastq.gz;ftp.sra.ebi.ac.uk/vol1/fastq/ERR164/ERR164510/ERR164510_2.fastq.gz</t>
  </si>
  <si>
    <t>ERX140388</t>
  </si>
  <si>
    <t>GSM993733</t>
  </si>
  <si>
    <t>https://www.ncbi.nlm.nih.gov//geo/query/acc.cgi?acc=GSM993733</t>
  </si>
  <si>
    <t>LC_S14_nor</t>
  </si>
  <si>
    <t>SAMEA1499294</t>
  </si>
  <si>
    <t>ERS158767</t>
  </si>
  <si>
    <t>ERR164511</t>
  </si>
  <si>
    <t>ftp.sra.ebi.ac.uk/vol1/fastq/ERR164/ERR164511/ERR164511_1.fastq.gz;ftp.sra.ebi.ac.uk/vol1/fastq/ERR164/ERR164511/ERR164511_2.fastq.gz</t>
  </si>
  <si>
    <t>ERX140389</t>
  </si>
  <si>
    <t>GSM993734</t>
  </si>
  <si>
    <t>https://www.ncbi.nlm.nih.gov//geo/query/acc.cgi?acc=GSM993734</t>
  </si>
  <si>
    <t>LC_S15_nor</t>
  </si>
  <si>
    <t>SAMEA1499275</t>
  </si>
  <si>
    <t>ERS158768</t>
  </si>
  <si>
    <t>ERR164512</t>
  </si>
  <si>
    <t>ftp.sra.ebi.ac.uk/vol1/fastq/ERR164/ERR164512/ERR164512_1.fastq.gz;ftp.sra.ebi.ac.uk/vol1/fastq/ERR164/ERR164512/ERR164512_2.fastq.gz</t>
  </si>
  <si>
    <t>ERX140390</t>
  </si>
  <si>
    <t>GSM993735</t>
  </si>
  <si>
    <t>https://www.ncbi.nlm.nih.gov//geo/query/acc.cgi?acc=GSM993735</t>
  </si>
  <si>
    <t>LC_S16_nor</t>
  </si>
  <si>
    <t>SAMEA1499269</t>
  </si>
  <si>
    <t>ERS158769</t>
  </si>
  <si>
    <t>ERR164513</t>
  </si>
  <si>
    <t>ftp.sra.ebi.ac.uk/vol1/fastq/ERR164/ERR164513/ERR164513_1.fastq.gz;ftp.sra.ebi.ac.uk/vol1/fastq/ERR164/ERR164513/ERR164513_2.fastq.gz</t>
  </si>
  <si>
    <t>ERX140391</t>
  </si>
  <si>
    <t>GSM993736</t>
  </si>
  <si>
    <t>https://www.ncbi.nlm.nih.gov//geo/query/acc.cgi?acc=GSM993736</t>
  </si>
  <si>
    <t>LC_S17_nor</t>
  </si>
  <si>
    <t>SAMEA1499351</t>
  </si>
  <si>
    <t>ERS158770</t>
  </si>
  <si>
    <t>ERR164514</t>
  </si>
  <si>
    <t>ftp.sra.ebi.ac.uk/vol1/fastq/ERR164/ERR164514/ERR164514_1.fastq.gz;ftp.sra.ebi.ac.uk/vol1/fastq/ERR164/ERR164514/ERR164514_2.fastq.gz</t>
  </si>
  <si>
    <t>ERX140392</t>
  </si>
  <si>
    <t>GSM993737</t>
  </si>
  <si>
    <t>https://www.ncbi.nlm.nih.gov//geo/query/acc.cgi?acc=GSM993737</t>
  </si>
  <si>
    <t>LC_S18_nor</t>
  </si>
  <si>
    <t>SAMEA1499374</t>
  </si>
  <si>
    <t>ERS158771</t>
  </si>
  <si>
    <t>ERR164515</t>
  </si>
  <si>
    <t>ftp.sra.ebi.ac.uk/vol1/fastq/ERR164/ERR164515/ERR164515_1.fastq.gz;ftp.sra.ebi.ac.uk/vol1/fastq/ERR164/ERR164515/ERR164515_2.fastq.gz</t>
  </si>
  <si>
    <t>ERX140393</t>
  </si>
  <si>
    <t>GSM993738</t>
  </si>
  <si>
    <t>https://www.ncbi.nlm.nih.gov//geo/query/acc.cgi?acc=GSM993738</t>
  </si>
  <si>
    <t>LC_S19_nor</t>
  </si>
  <si>
    <t>SAMEA1499283</t>
  </si>
  <si>
    <t>ERS158772</t>
  </si>
  <si>
    <t>ERR164516</t>
  </si>
  <si>
    <t>ftp.sra.ebi.ac.uk/vol1/fastq/ERR164/ERR164516/ERR164516_1.fastq.gz;ftp.sra.ebi.ac.uk/vol1/fastq/ERR164/ERR164516/ERR164516_2.fastq.gz</t>
  </si>
  <si>
    <t>ERX140394</t>
  </si>
  <si>
    <t>GSM993739</t>
  </si>
  <si>
    <t>https://www.ncbi.nlm.nih.gov//geo/query/acc.cgi?acc=GSM993739</t>
  </si>
  <si>
    <t>LC_S20_nor</t>
  </si>
  <si>
    <t>SAMEA1499298</t>
  </si>
  <si>
    <t>ERS158773</t>
  </si>
  <si>
    <t>ERR164517</t>
  </si>
  <si>
    <t>ftp.sra.ebi.ac.uk/vol1/fastq/ERR164/ERR164517/ERR164517_1.fastq.gz;ftp.sra.ebi.ac.uk/vol1/fastq/ERR164/ERR164517/ERR164517_2.fastq.gz</t>
  </si>
  <si>
    <t>ERX140395</t>
  </si>
  <si>
    <t>GSM993740</t>
  </si>
  <si>
    <t>https://www.ncbi.nlm.nih.gov//geo/query/acc.cgi?acc=GSM993740</t>
  </si>
  <si>
    <t>LC_S21_nor</t>
  </si>
  <si>
    <t>SAMEA1499271</t>
  </si>
  <si>
    <t>ERS158774</t>
  </si>
  <si>
    <t>ERR164518</t>
  </si>
  <si>
    <t>ftp.sra.ebi.ac.uk/vol1/fastq/ERR164/ERR164518/ERR164518_1.fastq.gz;ftp.sra.ebi.ac.uk/vol1/fastq/ERR164/ERR164518/ERR164518_2.fastq.gz</t>
  </si>
  <si>
    <t>ERX140396</t>
  </si>
  <si>
    <t>GSM993741</t>
  </si>
  <si>
    <t>https://www.ncbi.nlm.nih.gov//geo/query/acc.cgi?acc=GSM993741</t>
  </si>
  <si>
    <t>LC_S22_nor</t>
  </si>
  <si>
    <t>SAMEA1499258</t>
  </si>
  <si>
    <t>ERS158775</t>
  </si>
  <si>
    <t>ERR164519</t>
  </si>
  <si>
    <t>ftp.sra.ebi.ac.uk/vol1/fastq/ERR164/ERR164519/ERR164519_1.fastq.gz;ftp.sra.ebi.ac.uk/vol1/fastq/ERR164/ERR164519/ERR164519_2.fastq.gz</t>
  </si>
  <si>
    <t>ERX140397</t>
  </si>
  <si>
    <t>GSM993742</t>
  </si>
  <si>
    <t>https://www.ncbi.nlm.nih.gov//geo/query/acc.cgi?acc=GSM993742</t>
  </si>
  <si>
    <t>LC_S23_nor</t>
  </si>
  <si>
    <t>SAMEA1499223</t>
  </si>
  <si>
    <t>ERS158776</t>
  </si>
  <si>
    <t>ERR164520</t>
  </si>
  <si>
    <t>ftp.sra.ebi.ac.uk/vol1/fastq/ERR164/ERR164520/ERR164520_1.fastq.gz;ftp.sra.ebi.ac.uk/vol1/fastq/ERR164/ERR164520/ERR164520_2.fastq.gz</t>
  </si>
  <si>
    <t>ERX140398</t>
  </si>
  <si>
    <t>GSM993743</t>
  </si>
  <si>
    <t>https://www.ncbi.nlm.nih.gov//geo/query/acc.cgi?acc=GSM993743</t>
  </si>
  <si>
    <t>LC_S24_nor</t>
  </si>
  <si>
    <t>SAMEA1499370</t>
  </si>
  <si>
    <t>ERS158777</t>
  </si>
  <si>
    <t>ERR164521</t>
  </si>
  <si>
    <t>ftp.sra.ebi.ac.uk/vol1/fastq/ERR164/ERR164521/ERR164521_1.fastq.gz;ftp.sra.ebi.ac.uk/vol1/fastq/ERR164/ERR164521/ERR164521_2.fastq.gz</t>
  </si>
  <si>
    <t>ERX140399</t>
  </si>
  <si>
    <t>GSM993744</t>
  </si>
  <si>
    <t>https://www.ncbi.nlm.nih.gov//geo/query/acc.cgi?acc=GSM993744</t>
  </si>
  <si>
    <t>LC_S25_nor</t>
  </si>
  <si>
    <t>SAMEA1499344</t>
  </si>
  <si>
    <t>ERS158778</t>
  </si>
  <si>
    <t>ERR164522</t>
  </si>
  <si>
    <t>ftp.sra.ebi.ac.uk/vol1/fastq/ERR164/ERR164522/ERR164522_1.fastq.gz;ftp.sra.ebi.ac.uk/vol1/fastq/ERR164/ERR164522/ERR164522_2.fastq.gz</t>
  </si>
  <si>
    <t>ERX140400</t>
  </si>
  <si>
    <t>GSM993745</t>
  </si>
  <si>
    <t>https://www.ncbi.nlm.nih.gov//geo/query/acc.cgi?acc=GSM993745</t>
  </si>
  <si>
    <t>LC_S26_nor</t>
  </si>
  <si>
    <t>SAMEA1499320</t>
  </si>
  <si>
    <t>ERS158779</t>
  </si>
  <si>
    <t>ERR164523</t>
  </si>
  <si>
    <t>ftp.sra.ebi.ac.uk/vol1/fastq/ERR164/ERR164523/ERR164523_1.fastq.gz;ftp.sra.ebi.ac.uk/vol1/fastq/ERR164/ERR164523/ERR164523_2.fastq.gz</t>
  </si>
  <si>
    <t>ERX140401</t>
  </si>
  <si>
    <t>GSM993746</t>
  </si>
  <si>
    <t>https://www.ncbi.nlm.nih.gov//geo/query/acc.cgi?acc=GSM993746</t>
  </si>
  <si>
    <t>LC_S27_nor</t>
  </si>
  <si>
    <t>SAMEA1499270</t>
  </si>
  <si>
    <t>ERS158780</t>
  </si>
  <si>
    <t>ERR164524</t>
  </si>
  <si>
    <t>ftp.sra.ebi.ac.uk/vol1/fastq/ERR164/ERR164524/ERR164524_1.fastq.gz;ftp.sra.ebi.ac.uk/vol1/fastq/ERR164/ERR164524/ERR164524_2.fastq.gz</t>
  </si>
  <si>
    <t>ERX140402</t>
  </si>
  <si>
    <t>GSM993747</t>
  </si>
  <si>
    <t>https://www.ncbi.nlm.nih.gov//geo/query/acc.cgi?acc=GSM993747</t>
  </si>
  <si>
    <t>LC_S28_nor</t>
  </si>
  <si>
    <t>SAMEA1499297</t>
  </si>
  <si>
    <t>ERS158781</t>
  </si>
  <si>
    <t>ERR164525</t>
  </si>
  <si>
    <t>ftp.sra.ebi.ac.uk/vol1/fastq/ERR164/ERR164525/ERR164525_1.fastq.gz;ftp.sra.ebi.ac.uk/vol1/fastq/ERR164/ERR164525/ERR164525_2.fastq.gz</t>
  </si>
  <si>
    <t>ERX140403</t>
  </si>
  <si>
    <t>GSM993748</t>
  </si>
  <si>
    <t>https://www.ncbi.nlm.nih.gov//geo/query/acc.cgi?acc=GSM993748</t>
  </si>
  <si>
    <t>LC_S29_nor</t>
  </si>
  <si>
    <t>SAMEA1499231</t>
  </si>
  <si>
    <t>ERS158782</t>
  </si>
  <si>
    <t>ERR164526</t>
  </si>
  <si>
    <t>ftp.sra.ebi.ac.uk/vol1/fastq/ERR164/ERR164526/ERR164526_1.fastq.gz;ftp.sra.ebi.ac.uk/vol1/fastq/ERR164/ERR164526/ERR164526_2.fastq.gz</t>
  </si>
  <si>
    <t>ERX140404</t>
  </si>
  <si>
    <t>GSM993749</t>
  </si>
  <si>
    <t>https://www.ncbi.nlm.nih.gov//geo/query/acc.cgi?acc=GSM993749</t>
  </si>
  <si>
    <t>LC_S30_nor</t>
  </si>
  <si>
    <t>SAMEA1499255</t>
  </si>
  <si>
    <t>ERS158783</t>
  </si>
  <si>
    <t>ERR164527</t>
  </si>
  <si>
    <t>ftp.sra.ebi.ac.uk/vol1/fastq/ERR164/ERR164527/ERR164527_1.fastq.gz;ftp.sra.ebi.ac.uk/vol1/fastq/ERR164/ERR164527/ERR164527_2.fastq.gz</t>
  </si>
  <si>
    <t>ERX140405</t>
  </si>
  <si>
    <t>GSM993750</t>
  </si>
  <si>
    <t>https://www.ncbi.nlm.nih.gov//geo/query/acc.cgi?acc=GSM993750</t>
  </si>
  <si>
    <t>LC_S31_nor</t>
  </si>
  <si>
    <t>SAMEA1499244</t>
  </si>
  <si>
    <t>ERS158784</t>
  </si>
  <si>
    <t>ERR164528</t>
  </si>
  <si>
    <t>ftp.sra.ebi.ac.uk/vol1/fastq/ERR164/ERR164528/ERR164528_1.fastq.gz;ftp.sra.ebi.ac.uk/vol1/fastq/ERR164/ERR164528/ERR164528_2.fastq.gz</t>
  </si>
  <si>
    <t>ERX140406</t>
  </si>
  <si>
    <t>GSM993751</t>
  </si>
  <si>
    <t>https://www.ncbi.nlm.nih.gov//geo/query/acc.cgi?acc=GSM993751</t>
  </si>
  <si>
    <t>LC_S32_nor</t>
  </si>
  <si>
    <t>SAMEA1499350</t>
  </si>
  <si>
    <t>ERS158785</t>
  </si>
  <si>
    <t>ERR164529</t>
  </si>
  <si>
    <t>ftp.sra.ebi.ac.uk/vol1/fastq/ERR164/ERR164529/ERR164529_1.fastq.gz;ftp.sra.ebi.ac.uk/vol1/fastq/ERR164/ERR164529/ERR164529_2.fastq.gz</t>
  </si>
  <si>
    <t>ERX140407</t>
  </si>
  <si>
    <t>GSM993752</t>
  </si>
  <si>
    <t>https://www.ncbi.nlm.nih.gov//geo/query/acc.cgi?acc=GSM993752</t>
  </si>
  <si>
    <t>LC_S33_nor</t>
  </si>
  <si>
    <t>SAMEA1499363</t>
  </si>
  <si>
    <t>ERS158786</t>
  </si>
  <si>
    <t>ERR164530</t>
  </si>
  <si>
    <t>ftp.sra.ebi.ac.uk/vol1/fastq/ERR164/ERR164530/ERR164530_1.fastq.gz;ftp.sra.ebi.ac.uk/vol1/fastq/ERR164/ERR164530/ERR164530_2.fastq.gz</t>
  </si>
  <si>
    <t>ERX140408</t>
  </si>
  <si>
    <t>GSM993753</t>
  </si>
  <si>
    <t>https://www.ncbi.nlm.nih.gov//geo/query/acc.cgi?acc=GSM993753</t>
  </si>
  <si>
    <t>LC_S34_nor</t>
  </si>
  <si>
    <t>SAMEA1499317</t>
  </si>
  <si>
    <t>ERS158787</t>
  </si>
  <si>
    <t>ERR164531</t>
  </si>
  <si>
    <t>ftp.sra.ebi.ac.uk/vol1/fastq/ERR164/ERR164531/ERR164531_1.fastq.gz;ftp.sra.ebi.ac.uk/vol1/fastq/ERR164/ERR164531/ERR164531_2.fastq.gz</t>
  </si>
  <si>
    <t>ERX140409</t>
  </si>
  <si>
    <t>GSM993754</t>
  </si>
  <si>
    <t>https://www.ncbi.nlm.nih.gov//geo/query/acc.cgi?acc=GSM993754</t>
  </si>
  <si>
    <t>LC_S35_nor</t>
  </si>
  <si>
    <t>SAMEA1499340</t>
  </si>
  <si>
    <t>ERS158788</t>
  </si>
  <si>
    <t>ERR164532</t>
  </si>
  <si>
    <t>ftp.sra.ebi.ac.uk/vol1/fastq/ERR164/ERR164532/ERR164532_1.fastq.gz;ftp.sra.ebi.ac.uk/vol1/fastq/ERR164/ERR164532/ERR164532_2.fastq.gz</t>
  </si>
  <si>
    <t>ERX140410</t>
  </si>
  <si>
    <t>GSM993755</t>
  </si>
  <si>
    <t>https://www.ncbi.nlm.nih.gov//geo/query/acc.cgi?acc=GSM993755</t>
  </si>
  <si>
    <t>LC_S36_nor</t>
  </si>
  <si>
    <t>SAMEA1499336</t>
  </si>
  <si>
    <t>ERS158789</t>
  </si>
  <si>
    <t>ERR164533</t>
  </si>
  <si>
    <t>ftp.sra.ebi.ac.uk/vol1/fastq/ERR164/ERR164533/ERR164533_1.fastq.gz;ftp.sra.ebi.ac.uk/vol1/fastq/ERR164/ERR164533/ERR164533_2.fastq.gz</t>
  </si>
  <si>
    <t>ERX140411</t>
  </si>
  <si>
    <t>GSM993756</t>
  </si>
  <si>
    <t>https://www.ncbi.nlm.nih.gov//geo/query/acc.cgi?acc=GSM993756</t>
  </si>
  <si>
    <t>LC_S37_nor</t>
  </si>
  <si>
    <t>SAMEA1499343</t>
  </si>
  <si>
    <t>ERS158790</t>
  </si>
  <si>
    <t>ERR164534</t>
  </si>
  <si>
    <t>ftp.sra.ebi.ac.uk/vol1/fastq/ERR164/ERR164534/ERR164534_1.fastq.gz;ftp.sra.ebi.ac.uk/vol1/fastq/ERR164/ERR164534/ERR164534_2.fastq.gz</t>
  </si>
  <si>
    <t>ERX140412</t>
  </si>
  <si>
    <t>GSM993757</t>
  </si>
  <si>
    <t>https://www.ncbi.nlm.nih.gov//geo/query/acc.cgi?acc=GSM993757</t>
  </si>
  <si>
    <t>LC_S38_nor</t>
  </si>
  <si>
    <t>SAMEA1499365</t>
  </si>
  <si>
    <t>ERS158791</t>
  </si>
  <si>
    <t>ERR164535</t>
  </si>
  <si>
    <t>ftp.sra.ebi.ac.uk/vol1/fastq/ERR164/ERR164535/ERR164535_1.fastq.gz;ftp.sra.ebi.ac.uk/vol1/fastq/ERR164/ERR164535/ERR164535_2.fastq.gz</t>
  </si>
  <si>
    <t>ERX140413</t>
  </si>
  <si>
    <t>GSM993758</t>
  </si>
  <si>
    <t>https://www.ncbi.nlm.nih.gov//geo/query/acc.cgi?acc=GSM993758</t>
  </si>
  <si>
    <t>LC_S39_nor</t>
  </si>
  <si>
    <t>SAMEA1499234</t>
  </si>
  <si>
    <t>ERS158792</t>
  </si>
  <si>
    <t>ERR164536</t>
  </si>
  <si>
    <t>ftp.sra.ebi.ac.uk/vol1/fastq/ERR164/ERR164536/ERR164536_1.fastq.gz;ftp.sra.ebi.ac.uk/vol1/fastq/ERR164/ERR164536/ERR164536_2.fastq.gz</t>
  </si>
  <si>
    <t>ERX140414</t>
  </si>
  <si>
    <t>GSM993759</t>
  </si>
  <si>
    <t>https://www.ncbi.nlm.nih.gov//geo/query/acc.cgi?acc=GSM993759</t>
  </si>
  <si>
    <t>LC_S40_nor</t>
  </si>
  <si>
    <t>SAMEA1499253</t>
  </si>
  <si>
    <t>ERS158793</t>
  </si>
  <si>
    <t>ERR164537</t>
  </si>
  <si>
    <t>ftp.sra.ebi.ac.uk/vol1/fastq/ERR164/ERR164537/ERR164537_1.fastq.gz;ftp.sra.ebi.ac.uk/vol1/fastq/ERR164/ERR164537/ERR164537_2.fastq.gz</t>
  </si>
  <si>
    <t>ERX140415</t>
  </si>
  <si>
    <t>GSM993760</t>
  </si>
  <si>
    <t>https://www.ncbi.nlm.nih.gov//geo/query/acc.cgi?acc=GSM993760</t>
  </si>
  <si>
    <t>LC_S41_nor</t>
  </si>
  <si>
    <t>SAMEA1499279</t>
  </si>
  <si>
    <t>ERS158794</t>
  </si>
  <si>
    <t>ERR164538</t>
  </si>
  <si>
    <t>ftp.sra.ebi.ac.uk/vol1/fastq/ERR164/ERR164538/ERR164538_1.fastq.gz;ftp.sra.ebi.ac.uk/vol1/fastq/ERR164/ERR164538/ERR164538_2.fastq.gz</t>
  </si>
  <si>
    <t>ERX140416</t>
  </si>
  <si>
    <t>GSM993761</t>
  </si>
  <si>
    <t>https://www.ncbi.nlm.nih.gov//geo/query/acc.cgi?acc=GSM993761</t>
  </si>
  <si>
    <t>LC_S42_nor</t>
  </si>
  <si>
    <t>SAMEA1499263</t>
  </si>
  <si>
    <t>ERS158795</t>
  </si>
  <si>
    <t>ERR164539</t>
  </si>
  <si>
    <t>ftp.sra.ebi.ac.uk/vol1/fastq/ERR164/ERR164539/ERR164539_1.fastq.gz;ftp.sra.ebi.ac.uk/vol1/fastq/ERR164/ERR164539/ERR164539_2.fastq.gz</t>
  </si>
  <si>
    <t>ERX140417</t>
  </si>
  <si>
    <t>GSM993762</t>
  </si>
  <si>
    <t>https://www.ncbi.nlm.nih.gov//geo/query/acc.cgi?acc=GSM993762</t>
  </si>
  <si>
    <t>LC_S43_nor</t>
  </si>
  <si>
    <t>SAMEA1499282</t>
  </si>
  <si>
    <t>ERS158796</t>
  </si>
  <si>
    <t>ERR164540</t>
  </si>
  <si>
    <t>ftp.sra.ebi.ac.uk/vol1/fastq/ERR164/ERR164540/ERR164540_1.fastq.gz;ftp.sra.ebi.ac.uk/vol1/fastq/ERR164/ERR164540/ERR164540_2.fastq.gz</t>
  </si>
  <si>
    <t>ERX140418</t>
  </si>
  <si>
    <t>GSM993763</t>
  </si>
  <si>
    <t>https://www.ncbi.nlm.nih.gov//geo/query/acc.cgi?acc=GSM993763</t>
  </si>
  <si>
    <t>LC_S44_nor</t>
  </si>
  <si>
    <t>SAMEA1499311</t>
  </si>
  <si>
    <t>ERS158797</t>
  </si>
  <si>
    <t>ERR164541</t>
  </si>
  <si>
    <t>ftp.sra.ebi.ac.uk/vol1/fastq/ERR164/ERR164541/ERR164541_1.fastq.gz;ftp.sra.ebi.ac.uk/vol1/fastq/ERR164/ERR164541/ERR164541_2.fastq.gz</t>
  </si>
  <si>
    <t>ERX140419</t>
  </si>
  <si>
    <t>GSM993764</t>
  </si>
  <si>
    <t>https://www.ncbi.nlm.nih.gov//geo/query/acc.cgi?acc=GSM993764</t>
  </si>
  <si>
    <t>LC_S45_nor</t>
  </si>
  <si>
    <t>SAMEA1499321</t>
  </si>
  <si>
    <t>ERS158798</t>
  </si>
  <si>
    <t>ERR164542</t>
  </si>
  <si>
    <t>ftp.sra.ebi.ac.uk/vol1/fastq/ERR164/ERR164542/ERR164542_1.fastq.gz;ftp.sra.ebi.ac.uk/vol1/fastq/ERR164/ERR164542/ERR164542_2.fastq.gz</t>
  </si>
  <si>
    <t>ERX140420</t>
  </si>
  <si>
    <t>GSM993765</t>
  </si>
  <si>
    <t>https://www.ncbi.nlm.nih.gov//geo/query/acc.cgi?acc=GSM993765</t>
  </si>
  <si>
    <t>LC_S46_nor</t>
  </si>
  <si>
    <t>SAMEA1499347</t>
  </si>
  <si>
    <t>ERS158799</t>
  </si>
  <si>
    <t>ERR164543</t>
  </si>
  <si>
    <t>ftp.sra.ebi.ac.uk/vol1/fastq/ERR164/ERR164543/ERR164543_1.fastq.gz;ftp.sra.ebi.ac.uk/vol1/fastq/ERR164/ERR164543/ERR164543_2.fastq.gz</t>
  </si>
  <si>
    <t>ERX140421</t>
  </si>
  <si>
    <t>GSM993766</t>
  </si>
  <si>
    <t>https://www.ncbi.nlm.nih.gov//geo/query/acc.cgi?acc=GSM993766</t>
  </si>
  <si>
    <t>LC_S47_nor</t>
  </si>
  <si>
    <t>SAMEA1499249</t>
  </si>
  <si>
    <t>ERS158800</t>
  </si>
  <si>
    <t>ERR164544</t>
  </si>
  <si>
    <t>ftp.sra.ebi.ac.uk/vol1/fastq/ERR164/ERR164544/ERR164544_1.fastq.gz;ftp.sra.ebi.ac.uk/vol1/fastq/ERR164/ERR164544/ERR164544_2.fastq.gz</t>
  </si>
  <si>
    <t>ERX140422</t>
  </si>
  <si>
    <t>GSM993767</t>
  </si>
  <si>
    <t>https://www.ncbi.nlm.nih.gov//geo/query/acc.cgi?acc=GSM993767</t>
  </si>
  <si>
    <t>LC_S48_nor</t>
  </si>
  <si>
    <t>SAMEA1499227</t>
  </si>
  <si>
    <t>ERS158801</t>
  </si>
  <si>
    <t>ERR164545</t>
  </si>
  <si>
    <t>ftp.sra.ebi.ac.uk/vol1/fastq/ERR164/ERR164545/ERR164545_1.fastq.gz;ftp.sra.ebi.ac.uk/vol1/fastq/ERR164/ERR164545/ERR164545_2.fastq.gz</t>
  </si>
  <si>
    <t>ERX140423</t>
  </si>
  <si>
    <t>GSM993768</t>
  </si>
  <si>
    <t>https://www.ncbi.nlm.nih.gov//geo/query/acc.cgi?acc=GSM993768</t>
  </si>
  <si>
    <t>LC_S49_nor</t>
  </si>
  <si>
    <t>SAMEA1499232</t>
  </si>
  <si>
    <t>ERS158802</t>
  </si>
  <si>
    <t>ERR164546</t>
  </si>
  <si>
    <t>ftp.sra.ebi.ac.uk/vol1/fastq/ERR164/ERR164546/ERR164546_1.fastq.gz;ftp.sra.ebi.ac.uk/vol1/fastq/ERR164/ERR164546/ERR164546_2.fastq.gz</t>
  </si>
  <si>
    <t>ERX140424</t>
  </si>
  <si>
    <t>GSM993769</t>
  </si>
  <si>
    <t>https://www.ncbi.nlm.nih.gov//geo/query/acc.cgi?acc=GSM993769</t>
  </si>
  <si>
    <t>LC_S50_nor</t>
  </si>
  <si>
    <t>SAMEA1499373</t>
  </si>
  <si>
    <t>ERS158803</t>
  </si>
  <si>
    <t>ERR164547</t>
  </si>
  <si>
    <t>ftp.sra.ebi.ac.uk/vol1/fastq/ERR164/ERR164547/ERR164547_1.fastq.gz;ftp.sra.ebi.ac.uk/vol1/fastq/ERR164/ERR164547/ERR164547_2.fastq.gz</t>
  </si>
  <si>
    <t>ERX140425</t>
  </si>
  <si>
    <t>GSM993770</t>
  </si>
  <si>
    <t>https://www.ncbi.nlm.nih.gov//geo/query/acc.cgi?acc=GSM993770</t>
  </si>
  <si>
    <t>LC_S51_nor</t>
  </si>
  <si>
    <t>SAMEA1499352</t>
  </si>
  <si>
    <t>ERS158804</t>
  </si>
  <si>
    <t>ERR164548</t>
  </si>
  <si>
    <t>ftp.sra.ebi.ac.uk/vol1/fastq/ERR164/ERR164548/ERR164548_1.fastq.gz;ftp.sra.ebi.ac.uk/vol1/fastq/ERR164/ERR164548/ERR164548_2.fastq.gz</t>
  </si>
  <si>
    <t>ERX140426</t>
  </si>
  <si>
    <t>GSM993771</t>
  </si>
  <si>
    <t>https://www.ncbi.nlm.nih.gov//geo/query/acc.cgi?acc=GSM993771</t>
  </si>
  <si>
    <t>LC_S52_nor</t>
  </si>
  <si>
    <t>SAMEA1499325</t>
  </si>
  <si>
    <t>ERS158805</t>
  </si>
  <si>
    <t>ERR164549</t>
  </si>
  <si>
    <t>ftp.sra.ebi.ac.uk/vol1/fastq/ERR164/ERR164549/ERR164549_1.fastq.gz;ftp.sra.ebi.ac.uk/vol1/fastq/ERR164/ERR164549/ERR164549_2.fastq.gz</t>
  </si>
  <si>
    <t>ERP001058</t>
  </si>
  <si>
    <t>ILLUMINA</t>
  </si>
  <si>
    <t>Homo sapiens</t>
  </si>
  <si>
    <t>TRANSCRIPTOMIC</t>
  </si>
  <si>
    <t>unspecified</t>
  </si>
  <si>
    <t>PAIRED</t>
  </si>
  <si>
    <t>Illumina HiSeq 2000</t>
  </si>
  <si>
    <t>public</t>
  </si>
  <si>
    <t>GMISNU</t>
  </si>
  <si>
    <t>OTHER</t>
  </si>
  <si>
    <t>LC_S52_Txn1</t>
  </si>
  <si>
    <t>LC_S51_Txn1</t>
  </si>
  <si>
    <t>LC_S50_Txn1</t>
  </si>
  <si>
    <t>LC_S49_Txn1</t>
  </si>
  <si>
    <t>LC_S48_Txn1</t>
  </si>
  <si>
    <t>LC_S47_Txn1</t>
  </si>
  <si>
    <t>LC_S46_Txn1</t>
  </si>
  <si>
    <t>LC_S45_Txn1</t>
  </si>
  <si>
    <t>LC_S44_Txn1</t>
  </si>
  <si>
    <t>LC_S43_Txn1</t>
  </si>
  <si>
    <t>LC_S42_Txn1</t>
  </si>
  <si>
    <t>LC_S41_Txn1</t>
  </si>
  <si>
    <t>LC_S40_Txn1</t>
  </si>
  <si>
    <t>LC_S39_Txn1</t>
  </si>
  <si>
    <t>LC_S38_Txn1</t>
  </si>
  <si>
    <t>LC_S37_Txn1</t>
  </si>
  <si>
    <t>LC_S36_Txn1</t>
  </si>
  <si>
    <t>LC_S35_Txn1</t>
  </si>
  <si>
    <t>LC_S34_Txn1</t>
  </si>
  <si>
    <t>LC_S33_Txn1</t>
  </si>
  <si>
    <t>LC_S32_Txn1</t>
  </si>
  <si>
    <t>LC_S31_Txn1</t>
  </si>
  <si>
    <t>LC_S30_Txn1</t>
  </si>
  <si>
    <t>LC_S29_Txn1</t>
  </si>
  <si>
    <t>LC_S28_Txn1</t>
  </si>
  <si>
    <t>LC_S27_Txn1</t>
  </si>
  <si>
    <t>LC_S26_Txn1</t>
  </si>
  <si>
    <t>LC_S25_Txn1</t>
  </si>
  <si>
    <t>LC_S24_Txn1</t>
  </si>
  <si>
    <t>LC_S23_Txn1</t>
  </si>
  <si>
    <t>LC_S22_Txn1</t>
  </si>
  <si>
    <t>LC_S21_Txn1</t>
  </si>
  <si>
    <t>LC_S20_Txn1</t>
  </si>
  <si>
    <t>LC_S19_Txn1</t>
  </si>
  <si>
    <t>LC_S18_Txn1</t>
  </si>
  <si>
    <t>LC_S17_Txn1</t>
  </si>
  <si>
    <t>LC_S16_Txn1</t>
  </si>
  <si>
    <t>LC_S15_Txn1</t>
  </si>
  <si>
    <t>LC_S14_Txn1</t>
  </si>
  <si>
    <t>LC_S13_Txn1</t>
  </si>
  <si>
    <t>LC_S12_Txn1</t>
  </si>
  <si>
    <t>LC_S11_Txn1</t>
  </si>
  <si>
    <t>LC_S10_Txn1</t>
  </si>
  <si>
    <t>LC_S9_Txn1</t>
  </si>
  <si>
    <t>LC_S8_Txn1</t>
  </si>
  <si>
    <t>LC_S6_Txn1</t>
  </si>
  <si>
    <t>LC_C36_Txn1</t>
  </si>
  <si>
    <t>LC_C35_Txn1</t>
  </si>
  <si>
    <t>LC_C34_Txn1</t>
  </si>
  <si>
    <t>LC_C33_Txn1</t>
  </si>
  <si>
    <t>LC_C32_Txn1</t>
  </si>
  <si>
    <t>LC_C31_Txn1</t>
  </si>
  <si>
    <t>LC_C30_Txn1</t>
  </si>
  <si>
    <t>LC_C29_Txn1</t>
  </si>
  <si>
    <t>LC_C28_Txn1</t>
  </si>
  <si>
    <t>LC_C27_Txn1</t>
  </si>
  <si>
    <t>LC_C26_Txn1</t>
  </si>
  <si>
    <t>LC_C25_Txn1</t>
  </si>
  <si>
    <t>LC_C24_Txn1</t>
  </si>
  <si>
    <t>LC_C23_Txn1</t>
  </si>
  <si>
    <t>LC_C22_Txn1</t>
  </si>
  <si>
    <t>LC_C21_Txn1</t>
  </si>
  <si>
    <t>LC_C20_Txn1</t>
  </si>
  <si>
    <t>LC_C19_Txn1</t>
  </si>
  <si>
    <t>LC_C18_Txn1</t>
  </si>
  <si>
    <t>LC_C17_Txn1</t>
  </si>
  <si>
    <t>LC_C16_Txn1</t>
  </si>
  <si>
    <t>LC_C15_Txn1</t>
  </si>
  <si>
    <t>LC_C14_Txn1</t>
  </si>
  <si>
    <t>LC_C13_Txn1</t>
  </si>
  <si>
    <t>LC_C12_Txn1</t>
  </si>
  <si>
    <t>LC_C11_Txn1</t>
  </si>
  <si>
    <t>LC_C10_Txn1</t>
  </si>
  <si>
    <t>LC_C9_Txn1</t>
  </si>
  <si>
    <t>LC_C8_Txn1</t>
  </si>
  <si>
    <t>LC_C7_Txn1</t>
  </si>
  <si>
    <t>LC_C6_Txn1</t>
  </si>
  <si>
    <t>LC_C5_Txn1</t>
  </si>
  <si>
    <t>LC_C4_Txn1</t>
  </si>
  <si>
    <t>LC_C3_Txn1</t>
  </si>
  <si>
    <t>LC_C2_Txn1</t>
  </si>
  <si>
    <t>LC_C1_Txn1</t>
  </si>
  <si>
    <t>LC_S8_nor_Txn1</t>
  </si>
  <si>
    <t>LC_S52_nor_Txn1</t>
  </si>
  <si>
    <t>LC_S51_nor_Txn1</t>
  </si>
  <si>
    <t>LC_S50_nor_Txn1</t>
  </si>
  <si>
    <t>LC_S49_nor_Txn1</t>
  </si>
  <si>
    <t>LC_S48_nor_Txn1</t>
  </si>
  <si>
    <t>LC_S47_nor_Txn1</t>
  </si>
  <si>
    <t>LC_S46_nor_Txn1</t>
  </si>
  <si>
    <t>LC_S45_nor_Txn1</t>
  </si>
  <si>
    <t>LC_S44_nor_Txn1</t>
  </si>
  <si>
    <t>LC_S43_nor_Txn1</t>
  </si>
  <si>
    <t>LC_S42_nor_Txn1</t>
  </si>
  <si>
    <t>LC_S41_nor_Txn1</t>
  </si>
  <si>
    <t>LC_S40_nor_Txn1</t>
  </si>
  <si>
    <t>LC_S39_nor_Txn1</t>
  </si>
  <si>
    <t>LC_S38_nor_Txn1</t>
  </si>
  <si>
    <t>LC_S37_nor_Txn1</t>
  </si>
  <si>
    <t>LC_S36_nor_Txn1</t>
  </si>
  <si>
    <t>LC_S35_nor_Txn1</t>
  </si>
  <si>
    <t>LC_S34_nor_Txn1</t>
  </si>
  <si>
    <t>LC_S33_nor_Txn1</t>
  </si>
  <si>
    <t>LC_S32_nor_Txn1</t>
  </si>
  <si>
    <t>LC_S31_nor_Txn1</t>
  </si>
  <si>
    <t>LC_S30_nor_Txn1</t>
  </si>
  <si>
    <t>LC_S29_nor_Txn1</t>
  </si>
  <si>
    <t>LC_S28_nor_Txn1</t>
  </si>
  <si>
    <t>LC_S27_nor_Txn1</t>
  </si>
  <si>
    <t>LC_S26_nor_Txn1</t>
  </si>
  <si>
    <t>LC_S25_nor_Txn1</t>
  </si>
  <si>
    <t>LC_S24_nor_Txn1</t>
  </si>
  <si>
    <t>LC_S23_nor_Txn1</t>
  </si>
  <si>
    <t>LC_S22_nor_Txn1</t>
  </si>
  <si>
    <t>LC_S21_nor_Txn1</t>
  </si>
  <si>
    <t>LC_S20_nor_Txn1</t>
  </si>
  <si>
    <t>LC_S19_nor_Txn1</t>
  </si>
  <si>
    <t>LC_S18_nor_Txn1</t>
  </si>
  <si>
    <t>LC_S17_nor_Txn1</t>
  </si>
  <si>
    <t>LC_S16_nor_Txn1</t>
  </si>
  <si>
    <t>LC_S15_nor_Txn1</t>
  </si>
  <si>
    <t>LC_S14_nor_Txn1</t>
  </si>
  <si>
    <t>LC_S13_nor_Txn1</t>
  </si>
  <si>
    <t>LC_S11_nor_Txn1</t>
  </si>
  <si>
    <t>LC_S10_nor_Txn1</t>
  </si>
  <si>
    <t>LC_S9_nor_Txn1</t>
  </si>
  <si>
    <t>LC_S6_nor_Txn1</t>
  </si>
  <si>
    <t>LC_S5_nor_Txn1</t>
  </si>
  <si>
    <t>LC_S4_nor_Txn1</t>
  </si>
  <si>
    <t>LC_S3_nor_Txn1</t>
  </si>
  <si>
    <t>LC_S2_nor_Txn1</t>
  </si>
  <si>
    <t>LC_S1_nor_Txn1</t>
  </si>
  <si>
    <t>LC_C36_nor_Txn1</t>
  </si>
  <si>
    <t>LC_C35_nor_Txn1</t>
  </si>
  <si>
    <t>LC_C34_nor_Txn1</t>
  </si>
  <si>
    <t>LC_C33_nor_Txn1</t>
  </si>
  <si>
    <t>LC_C31_nor_Txn1</t>
  </si>
  <si>
    <t>LC_C30_nor_Txn1</t>
  </si>
  <si>
    <t>LC_C29_nor_Txn1</t>
  </si>
  <si>
    <t>LC_C28_nor_Txn1</t>
  </si>
  <si>
    <t>LC_C25_nor_Txn1</t>
  </si>
  <si>
    <t>LC_C24_nor_Txn1</t>
  </si>
  <si>
    <t>LC_C22_nor_Txn1</t>
  </si>
  <si>
    <t>LC_C21_nor_Txn1</t>
  </si>
  <si>
    <t>LC_C20_nor_Txn1</t>
  </si>
  <si>
    <t>LC_C19_nor_Txn1</t>
  </si>
  <si>
    <t>LC_C18_nor_Txn1</t>
  </si>
  <si>
    <t>LC_C17_nor_Txn1</t>
  </si>
  <si>
    <t>LC_C16_nor_Txn1</t>
  </si>
  <si>
    <t>LC_C14_nor_Txn1</t>
  </si>
  <si>
    <t>LC_C12_nor_Txn1</t>
  </si>
  <si>
    <t>LC_C11_nor_Txn1</t>
  </si>
  <si>
    <t>LC_C10_nor_Txn1</t>
  </si>
  <si>
    <t>LC_C9_nor_Txn1</t>
  </si>
  <si>
    <t>LC_C7_nor_Txn1</t>
  </si>
  <si>
    <t>LC_C5_nor_Txn1</t>
  </si>
  <si>
    <t>LC_C3_nor_Txn1</t>
  </si>
  <si>
    <t>LC_C2_nor_Txn1</t>
  </si>
  <si>
    <t>LC_C1_nor_Txn1</t>
  </si>
  <si>
    <t>ERR318895</t>
  </si>
  <si>
    <t>ERX292043</t>
  </si>
  <si>
    <t>LC_S5_RNA_01</t>
  </si>
  <si>
    <t>LC_S4_RNA_01</t>
  </si>
  <si>
    <t>ERR318894</t>
  </si>
  <si>
    <t>ERX292042</t>
  </si>
  <si>
    <t>ERR318893</t>
  </si>
  <si>
    <t>ERX292041</t>
  </si>
  <si>
    <t>LC_S3_RNA_01</t>
  </si>
  <si>
    <t>LC_S2_RNA_01</t>
  </si>
  <si>
    <t>ERR318892</t>
  </si>
  <si>
    <t>ERX292040</t>
  </si>
  <si>
    <t>ERR318891</t>
  </si>
  <si>
    <t>ERX292039</t>
  </si>
  <si>
    <t>LC_S1_RNA_01</t>
  </si>
  <si>
    <t>AK55_LungCancer(LivMets)</t>
  </si>
  <si>
    <t>ERS077419</t>
  </si>
  <si>
    <t>ERR058695</t>
  </si>
  <si>
    <t>AK55_RNA_01_LungCa(LivMets)</t>
  </si>
  <si>
    <t>ERX036541</t>
  </si>
  <si>
    <t>SAMEA1094642</t>
  </si>
  <si>
    <t>SRA_Study_s</t>
  </si>
  <si>
    <t>Platform_s</t>
  </si>
  <si>
    <t>Organism_s</t>
  </si>
  <si>
    <t>LibrarySource_s</t>
  </si>
  <si>
    <t>LibrarySelection_s</t>
  </si>
  <si>
    <t>LibraryLayout_s</t>
  </si>
  <si>
    <t>Instrument_s</t>
  </si>
  <si>
    <t>Consent_s</t>
  </si>
  <si>
    <t>Center_Name_s</t>
  </si>
  <si>
    <t>BioProject_s</t>
  </si>
  <si>
    <t>Assay_Type_s</t>
  </si>
  <si>
    <t>Sample_Name_s</t>
  </si>
  <si>
    <t>SRA_Sample_s</t>
  </si>
  <si>
    <t>Run_s</t>
  </si>
  <si>
    <t>ReleaseDate_s</t>
  </si>
  <si>
    <t>MBytes_l</t>
  </si>
  <si>
    <t>MBases_l</t>
  </si>
  <si>
    <t>LoadDate_s</t>
  </si>
  <si>
    <t>Library_Name_s</t>
  </si>
  <si>
    <t>InsertSize_l</t>
  </si>
  <si>
    <t>Experiment_s</t>
  </si>
  <si>
    <t>BioSample_s</t>
  </si>
  <si>
    <t>AvgSpotLen_l</t>
  </si>
  <si>
    <t>https://github.com/2017-usfca-biol-395/ifinney-analysis-report-02-rnaseq/blob/master/data/metadata/ERP001058_SraRunTable.txt</t>
  </si>
  <si>
    <t>Backup_v02</t>
  </si>
  <si>
    <t>Github</t>
  </si>
  <si>
    <t>ERR</t>
  </si>
  <si>
    <t>Index</t>
  </si>
  <si>
    <t>Sample</t>
  </si>
  <si>
    <t>_nor</t>
  </si>
  <si>
    <t>Normal</t>
  </si>
  <si>
    <t>Cancer</t>
  </si>
  <si>
    <t>Aligned</t>
  </si>
  <si>
    <t>C Samples</t>
  </si>
  <si>
    <t>S Samples</t>
  </si>
  <si>
    <t>Total</t>
  </si>
  <si>
    <t>C</t>
  </si>
  <si>
    <t>N</t>
  </si>
  <si>
    <t xml:space="preserve">BAMQC </t>
  </si>
  <si>
    <t>Label</t>
  </si>
  <si>
    <t>Smoking Status</t>
  </si>
  <si>
    <t>C34</t>
  </si>
  <si>
    <t>C7</t>
  </si>
  <si>
    <t>C18</t>
  </si>
  <si>
    <t>C4</t>
  </si>
  <si>
    <t>C9</t>
  </si>
  <si>
    <t>C8</t>
  </si>
  <si>
    <t>C21</t>
  </si>
  <si>
    <t>C13</t>
  </si>
  <si>
    <t>C15</t>
  </si>
  <si>
    <t>C10</t>
  </si>
  <si>
    <t>C36</t>
  </si>
  <si>
    <t>C22</t>
  </si>
  <si>
    <t>C14</t>
  </si>
  <si>
    <t>C26</t>
  </si>
  <si>
    <t>C3</t>
  </si>
  <si>
    <t>C30</t>
  </si>
  <si>
    <t>C16</t>
  </si>
  <si>
    <t>C24</t>
  </si>
  <si>
    <t>C17</t>
  </si>
  <si>
    <t>C29</t>
  </si>
  <si>
    <t>C11</t>
  </si>
  <si>
    <t>C12</t>
  </si>
  <si>
    <t>C1</t>
  </si>
  <si>
    <t>C2</t>
  </si>
  <si>
    <t>C5</t>
  </si>
  <si>
    <t>C6</t>
  </si>
  <si>
    <t>C19</t>
  </si>
  <si>
    <t>C20</t>
  </si>
  <si>
    <t>C23</t>
  </si>
  <si>
    <t>C27</t>
  </si>
  <si>
    <t>C28</t>
  </si>
  <si>
    <t>C31</t>
  </si>
  <si>
    <t>C32</t>
  </si>
  <si>
    <t>C33</t>
  </si>
  <si>
    <t>C35</t>
  </si>
  <si>
    <t>age</t>
  </si>
  <si>
    <t>smoking</t>
  </si>
  <si>
    <t>#</t>
  </si>
  <si>
    <t>%</t>
  </si>
  <si>
    <t>Smoker</t>
  </si>
  <si>
    <t>Never smoker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</si>
</sst>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Arial"/>
      <family val="2"/>
    </font>
    <font>
      <sz val="10"/>
      <color rgb="FF008000"/>
      <name val="Arial"/>
      <family val="2"/>
    </font>
    <font>
      <sz val="10"/>
      <color theme="1"/>
      <name val="Arial"/>
      <family val="2"/>
    </font>
    <font>
      <b/>
      <u val="singleAccounting"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0" fontId="18" fillId="0" borderId="0" xfId="42"/>
    <xf numFmtId="0" fontId="16" fillId="0" borderId="0" xfId="0" applyFont="1"/>
    <xf numFmtId="0" fontId="21" fillId="0" borderId="10" xfId="0" applyFont="1" applyBorder="1"/>
    <xf numFmtId="0" fontId="22" fillId="0" borderId="11" xfId="0" applyFont="1" applyBorder="1" applyAlignment="1">
      <alignment horizontal="right" indent="1"/>
    </xf>
    <xf numFmtId="0" fontId="23" fillId="0" borderId="0" xfId="0" applyFont="1"/>
    <xf numFmtId="0" fontId="21" fillId="0" borderId="17" xfId="0" applyFont="1" applyBorder="1"/>
    <xf numFmtId="0" fontId="22" fillId="0" borderId="18" xfId="0" applyFont="1" applyBorder="1" applyAlignment="1">
      <alignment horizontal="right" indent="1"/>
    </xf>
    <xf numFmtId="0" fontId="21" fillId="0" borderId="12" xfId="0" applyFont="1" applyBorder="1"/>
    <xf numFmtId="0" fontId="22" fillId="0" borderId="13" xfId="0" applyFont="1" applyBorder="1" applyAlignment="1">
      <alignment horizontal="right" indent="1"/>
    </xf>
    <xf numFmtId="164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0" fontId="21" fillId="0" borderId="14" xfId="0" applyFont="1" applyBorder="1"/>
    <xf numFmtId="0" fontId="22" fillId="0" borderId="14" xfId="0" applyFont="1" applyBorder="1" applyAlignment="1">
      <alignment horizontal="right" indent="1"/>
    </xf>
    <xf numFmtId="0" fontId="22" fillId="0" borderId="14" xfId="0" applyFont="1" applyBorder="1"/>
    <xf numFmtId="0" fontId="23" fillId="0" borderId="14" xfId="0" applyFont="1" applyBorder="1" applyAlignment="1">
      <alignment horizontal="right" indent="1"/>
    </xf>
    <xf numFmtId="0" fontId="23" fillId="0" borderId="14" xfId="0" applyFont="1" applyBorder="1"/>
    <xf numFmtId="0" fontId="21" fillId="0" borderId="0" xfId="0" applyFont="1" applyBorder="1"/>
    <xf numFmtId="0" fontId="23" fillId="0" borderId="0" xfId="0" quotePrefix="1" applyFont="1"/>
    <xf numFmtId="0" fontId="25" fillId="0" borderId="0" xfId="0" applyFont="1"/>
    <xf numFmtId="0" fontId="23" fillId="0" borderId="19" xfId="0" applyFont="1" applyBorder="1"/>
    <xf numFmtId="9" fontId="23" fillId="0" borderId="19" xfId="0" applyNumberFormat="1" applyFont="1" applyBorder="1"/>
    <xf numFmtId="0" fontId="21" fillId="0" borderId="15" xfId="0" applyFont="1" applyBorder="1"/>
    <xf numFmtId="0" fontId="22" fillId="0" borderId="15" xfId="0" applyFont="1" applyBorder="1" applyAlignment="1">
      <alignment horizontal="right" indent="1"/>
    </xf>
    <xf numFmtId="0" fontId="22" fillId="0" borderId="15" xfId="0" applyFont="1" applyBorder="1"/>
    <xf numFmtId="0" fontId="23" fillId="0" borderId="15" xfId="0" applyFont="1" applyBorder="1" applyAlignment="1">
      <alignment horizontal="right" indent="1"/>
    </xf>
    <xf numFmtId="0" fontId="21" fillId="0" borderId="16" xfId="0" applyFont="1" applyBorder="1"/>
    <xf numFmtId="0" fontId="23" fillId="0" borderId="16" xfId="0" applyFont="1" applyBorder="1"/>
    <xf numFmtId="0" fontId="23" fillId="0" borderId="15" xfId="0" applyFont="1" applyBorder="1"/>
    <xf numFmtId="0" fontId="23" fillId="0" borderId="20" xfId="0" applyFont="1" applyBorder="1"/>
    <xf numFmtId="9" fontId="23" fillId="0" borderId="20" xfId="0" applyNumberFormat="1" applyFont="1" applyBorder="1"/>
    <xf numFmtId="0" fontId="25" fillId="33" borderId="0" xfId="0" applyFont="1" applyFill="1"/>
    <xf numFmtId="0" fontId="25" fillId="33" borderId="21" xfId="0" applyFont="1" applyFill="1" applyBorder="1"/>
    <xf numFmtId="9" fontId="25" fillId="33" borderId="21" xfId="0" applyNumberFormat="1" applyFont="1" applyFill="1" applyBorder="1"/>
    <xf numFmtId="0" fontId="23" fillId="0" borderId="16" xfId="0" applyFont="1" applyBorder="1" applyAlignment="1">
      <alignment horizontal="right" indent="1"/>
    </xf>
    <xf numFmtId="0" fontId="21" fillId="0" borderId="0" xfId="0" applyFont="1"/>
    <xf numFmtId="0" fontId="22" fillId="0" borderId="16" xfId="0" applyFont="1" applyBorder="1" applyAlignment="1">
      <alignment horizontal="right" indent="1"/>
    </xf>
    <xf numFmtId="0" fontId="22" fillId="0" borderId="16" xfId="0" applyFont="1" applyBorder="1"/>
    <xf numFmtId="0" fontId="26" fillId="0" borderId="15" xfId="0" applyFont="1" applyBorder="1"/>
    <xf numFmtId="0" fontId="26" fillId="0" borderId="16" xfId="0" applyFont="1" applyBorder="1"/>
    <xf numFmtId="0" fontId="26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rgb="FFFFFEC6"/>
        </patternFill>
      </fill>
    </dxf>
  </dxfs>
  <tableStyles count="0" defaultTableStyle="TableStyleMedium2" defaultPivotStyle="PivotStyleLight16"/>
  <colors>
    <mruColors>
      <color rgb="FF0000FF"/>
      <color rgb="FF008000"/>
      <color rgb="FFFFFE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2017-usfca-biol-395/ifinney-analysis-report-02-rnaseq/blob/master/data/metadata/ERP001058_SraRunTable.tx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O176"/>
  <sheetViews>
    <sheetView showGridLines="0" tabSelected="1" zoomScaleNormal="100" workbookViewId="0"/>
  </sheetViews>
  <sheetFormatPr defaultRowHeight="12.3" x14ac:dyDescent="0.4"/>
  <cols>
    <col min="1" max="1" width="2.578125" style="6" customWidth="1"/>
    <col min="2" max="2" width="10.26171875" style="6" bestFit="1" customWidth="1"/>
    <col min="3" max="3" width="8.89453125" style="6" bestFit="1" customWidth="1"/>
    <col min="4" max="4" width="22.41796875" style="6" bestFit="1" customWidth="1"/>
    <col min="5" max="5" width="8.89453125" style="6" bestFit="1" customWidth="1"/>
    <col min="6" max="6" width="2.578125" style="6" customWidth="1"/>
    <col min="7" max="7" width="8.83984375" style="6"/>
    <col min="8" max="10" width="8.89453125" style="6" bestFit="1" customWidth="1"/>
    <col min="11" max="11" width="2.578125" style="6" customWidth="1"/>
    <col min="12" max="13" width="9.734375" style="6" bestFit="1" customWidth="1"/>
    <col min="14" max="14" width="9.734375" style="6" customWidth="1"/>
    <col min="15" max="15" width="2.578125" style="6" customWidth="1"/>
    <col min="16" max="17" width="9.7890625" style="6" bestFit="1" customWidth="1"/>
    <col min="18" max="18" width="12.89453125" style="6" bestFit="1" customWidth="1"/>
    <col min="19" max="19" width="9.7890625" style="6" bestFit="1" customWidth="1"/>
    <col min="20" max="20" width="2.578125" style="6" customWidth="1"/>
    <col min="21" max="21" width="9.734375" style="6" bestFit="1" customWidth="1"/>
    <col min="22" max="22" width="8.89453125" style="6" bestFit="1" customWidth="1"/>
    <col min="23" max="23" width="10.26171875" style="6" bestFit="1" customWidth="1"/>
    <col min="24" max="24" width="8.83984375" style="6"/>
    <col min="25" max="25" width="8.89453125" style="6" bestFit="1" customWidth="1"/>
    <col min="26" max="26" width="9.734375" style="6" bestFit="1" customWidth="1"/>
    <col min="27" max="27" width="8.83984375" style="6"/>
    <col min="28" max="28" width="9.734375" style="6" bestFit="1" customWidth="1"/>
    <col min="29" max="29" width="8.89453125" style="6" bestFit="1" customWidth="1"/>
    <col min="30" max="30" width="10.26171875" style="6" bestFit="1" customWidth="1"/>
    <col min="31" max="31" width="12.83984375" style="6" bestFit="1" customWidth="1"/>
    <col min="32" max="32" width="8.83984375" style="6"/>
    <col min="33" max="33" width="8.89453125" style="6" bestFit="1" customWidth="1"/>
    <col min="34" max="38" width="8.83984375" style="6"/>
    <col min="39" max="39" width="11.47265625" style="6" bestFit="1" customWidth="1"/>
    <col min="40" max="40" width="5.15625" style="6" bestFit="1" customWidth="1"/>
    <col min="41" max="41" width="5.83984375" style="6" bestFit="1" customWidth="1"/>
    <col min="42" max="16384" width="8.83984375" style="6"/>
  </cols>
  <sheetData>
    <row r="2" spans="2:41" x14ac:dyDescent="0.4">
      <c r="B2" s="4" t="s">
        <v>1556</v>
      </c>
      <c r="C2" s="5">
        <f>COLUMN(Backup_v02!$H$1)</f>
        <v>8</v>
      </c>
      <c r="AF2" s="6" t="s">
        <v>17</v>
      </c>
      <c r="AG2" s="6">
        <f ca="1">COUNTIF($AF$7:$AF$69, $AF2)</f>
        <v>30</v>
      </c>
    </row>
    <row r="3" spans="2:41" x14ac:dyDescent="0.4">
      <c r="B3" s="7" t="s">
        <v>1557</v>
      </c>
      <c r="C3" s="8">
        <f>COLUMN(Github!L1)</f>
        <v>12</v>
      </c>
      <c r="AF3" s="6" t="s">
        <v>39</v>
      </c>
      <c r="AG3" s="6">
        <f ca="1">COUNTIF($AF$7:$AF$69, $AF3)</f>
        <v>26</v>
      </c>
    </row>
    <row r="4" spans="2:41" x14ac:dyDescent="0.4">
      <c r="B4" s="9" t="s">
        <v>1556</v>
      </c>
      <c r="C4" s="10">
        <f>COLUMN(Backup_v02!$F$1)</f>
        <v>6</v>
      </c>
      <c r="AF4" s="6" t="s">
        <v>57</v>
      </c>
      <c r="AG4" s="6">
        <f ca="1">COUNTIF($AF$7:$AF$69, $AF4)</f>
        <v>7</v>
      </c>
    </row>
    <row r="5" spans="2:41" x14ac:dyDescent="0.4">
      <c r="P5" s="6">
        <f>COLUMN(Backup_v02!D1)</f>
        <v>4</v>
      </c>
      <c r="Q5" s="6">
        <f>COLUMN(Backup_v02!E1)</f>
        <v>5</v>
      </c>
      <c r="R5" s="6">
        <f>COLUMN(Backup_v02!F1)</f>
        <v>6</v>
      </c>
      <c r="S5" s="6">
        <f>COLUMN(Backup_v02!G1)</f>
        <v>7</v>
      </c>
    </row>
    <row r="6" spans="2:41" ht="15" x14ac:dyDescent="0.85">
      <c r="B6" s="11" t="s">
        <v>1558</v>
      </c>
      <c r="C6" s="11" t="s">
        <v>1559</v>
      </c>
      <c r="D6" s="11" t="s">
        <v>1560</v>
      </c>
      <c r="E6" s="11" t="s">
        <v>1561</v>
      </c>
      <c r="I6" s="11" t="s">
        <v>1562</v>
      </c>
      <c r="J6" s="11" t="s">
        <v>1563</v>
      </c>
      <c r="L6" s="11" t="s">
        <v>1563</v>
      </c>
      <c r="M6" s="11" t="s">
        <v>1562</v>
      </c>
      <c r="N6" s="11"/>
      <c r="P6" s="11" t="s">
        <v>1608</v>
      </c>
      <c r="Q6" s="11" t="s">
        <v>4</v>
      </c>
      <c r="R6" s="11" t="s">
        <v>1609</v>
      </c>
      <c r="S6" s="11" t="s">
        <v>6</v>
      </c>
      <c r="U6" s="11" t="s">
        <v>1564</v>
      </c>
      <c r="V6" s="11" t="s">
        <v>1559</v>
      </c>
      <c r="W6" s="11" t="s">
        <v>1560</v>
      </c>
      <c r="AB6" s="12" t="s">
        <v>1570</v>
      </c>
      <c r="AC6" s="12"/>
      <c r="AD6" s="12" t="s">
        <v>1571</v>
      </c>
      <c r="AE6" s="12" t="s">
        <v>1572</v>
      </c>
      <c r="AN6" s="12" t="s">
        <v>1610</v>
      </c>
      <c r="AO6" s="12" t="s">
        <v>1611</v>
      </c>
    </row>
    <row r="7" spans="2:41" x14ac:dyDescent="0.4">
      <c r="B7" s="13" t="s">
        <v>23</v>
      </c>
      <c r="C7" s="14">
        <f>MATCH($B7, Backup_v02!$L:$L, 0)</f>
        <v>2</v>
      </c>
      <c r="D7" s="15" t="str">
        <f t="shared" ref="D7:D38" ca="1" si="0">INDIRECT($B$2&amp;"!"&amp;ADDRESS($C7, C$2))</f>
        <v>LC_C1</v>
      </c>
      <c r="E7" s="16">
        <f ca="1">IF(ISERROR(SEARCH(E$6, $D7)), 0, 1)</f>
        <v>0</v>
      </c>
      <c r="G7" s="13" t="s">
        <v>1565</v>
      </c>
      <c r="H7" s="17">
        <f>COUNTA(B7:B69)</f>
        <v>63</v>
      </c>
      <c r="I7" s="17">
        <f ca="1">SUM(E7:E69)</f>
        <v>27</v>
      </c>
      <c r="J7" s="17">
        <f ca="1">H7-I7</f>
        <v>36</v>
      </c>
      <c r="L7" s="13" t="s">
        <v>312</v>
      </c>
      <c r="M7" s="13" t="s">
        <v>940</v>
      </c>
      <c r="N7" s="18"/>
      <c r="O7" s="6">
        <f>MATCH(L7, Backup_v02!$L:$L, 0)</f>
        <v>63</v>
      </c>
      <c r="P7" s="6">
        <f ca="1">INDIRECT($B$2&amp;"!"&amp;ADDRESS($O7, P$5))</f>
        <v>56</v>
      </c>
      <c r="Q7" s="6" t="str">
        <f ca="1">INDIRECT($B$2&amp;"!"&amp;ADDRESS($O7, Q$5))</f>
        <v>female</v>
      </c>
      <c r="R7" s="6" t="str">
        <f ca="1">INDIRECT($B$2&amp;"!"&amp;ADDRESS($O7, R$5))</f>
        <v>never smoker</v>
      </c>
      <c r="S7" s="6" t="str">
        <f ca="1">INDIRECT($B$2&amp;"!"&amp;ADDRESS($O7, S$5))</f>
        <v>1A</v>
      </c>
      <c r="U7" s="13" t="s">
        <v>732</v>
      </c>
      <c r="V7" s="16">
        <f>MATCH($U7, $B:$B, 0)</f>
        <v>8</v>
      </c>
      <c r="W7" s="17" t="str">
        <f ca="1">INDEX($D:$D, $V7)</f>
        <v>LC_C1_nor</v>
      </c>
      <c r="Y7" s="6">
        <f>MATCH(Z7, Backup_v02!$L:$L, 0)</f>
        <v>3</v>
      </c>
      <c r="Z7" s="6" t="s">
        <v>732</v>
      </c>
      <c r="AA7" s="6" t="s">
        <v>1569</v>
      </c>
      <c r="AB7" s="6" t="s">
        <v>732</v>
      </c>
      <c r="AC7" s="6" t="b">
        <f>AB7=Z7</f>
        <v>1</v>
      </c>
      <c r="AD7" s="6" t="str">
        <f ca="1">VLOOKUP($Z7,$B$7:$D$69, 3, 0)</f>
        <v>LC_C1_nor</v>
      </c>
      <c r="AE7" s="6" t="str">
        <f ca="1">INDIRECT($B$4&amp;"!"&amp;ADDRESS($Y7, C$4))</f>
        <v>smoker</v>
      </c>
      <c r="AF7" s="19" t="str">
        <f ca="1">IF(ISERROR(SEARCH("never smoker", $AE7, 1)),  IF($AE7="NA", "NA", "smoker"), "never smoker")</f>
        <v>smoker</v>
      </c>
      <c r="AI7" s="20" t="s">
        <v>1573</v>
      </c>
      <c r="AJ7" s="20" t="str">
        <f>"LC_"&amp;AI7</f>
        <v>LC_C34</v>
      </c>
      <c r="AK7" s="20" t="str">
        <f ca="1">VLOOKUP($AJ7, $AD$7:$AF$69, 3, 0)</f>
        <v>smoker</v>
      </c>
      <c r="AM7" s="21" t="s">
        <v>1612</v>
      </c>
      <c r="AN7" s="21">
        <f ca="1">COUNTIF($AK$7:$AK$15, $AM7)</f>
        <v>8</v>
      </c>
      <c r="AO7" s="22">
        <f ca="1">AN7/AN$10</f>
        <v>0.88888888888888884</v>
      </c>
    </row>
    <row r="8" spans="2:41" x14ac:dyDescent="0.4">
      <c r="B8" s="23" t="s">
        <v>732</v>
      </c>
      <c r="C8" s="24">
        <f>MATCH($B8, Backup_v02!$L:$L, 0)</f>
        <v>3</v>
      </c>
      <c r="D8" s="25" t="str">
        <f t="shared" ca="1" si="0"/>
        <v>LC_C1_nor</v>
      </c>
      <c r="E8" s="26">
        <f ca="1">IF(ISERROR(SEARCH(E$6, $D8)), 0, 1)</f>
        <v>1</v>
      </c>
      <c r="G8" s="27" t="s">
        <v>1566</v>
      </c>
      <c r="H8" s="28">
        <f>H9-H7</f>
        <v>105</v>
      </c>
      <c r="I8" s="28">
        <f ca="1">I9-I7</f>
        <v>50</v>
      </c>
      <c r="J8" s="28">
        <f ca="1">J9-J7</f>
        <v>55</v>
      </c>
      <c r="L8" s="23" t="s">
        <v>304</v>
      </c>
      <c r="M8" s="23" t="s">
        <v>932</v>
      </c>
      <c r="N8" s="18"/>
      <c r="O8" s="6">
        <f>MATCH(L8, Backup_v02!$L:$L, 0)</f>
        <v>61</v>
      </c>
      <c r="P8" s="6">
        <f t="shared" ref="P8:S42" ca="1" si="1">INDIRECT($B$2&amp;"!"&amp;ADDRESS($O8, P$5))</f>
        <v>60</v>
      </c>
      <c r="Q8" s="6" t="str">
        <f t="shared" ca="1" si="1"/>
        <v>male</v>
      </c>
      <c r="R8" s="6" t="str">
        <f t="shared" ca="1" si="1"/>
        <v>current smoker</v>
      </c>
      <c r="S8" s="6" t="str">
        <f t="shared" ca="1" si="1"/>
        <v>2A</v>
      </c>
      <c r="U8" s="29" t="str">
        <f t="shared" ref="U8:U15" si="2">"ERR"&amp;INT(MID(U7, 4, LEN(U7)-3))+1</f>
        <v>ERR164474</v>
      </c>
      <c r="V8" s="26">
        <f>MATCH($U8, $B:$B, 0)</f>
        <v>10</v>
      </c>
      <c r="W8" s="29" t="str">
        <f ca="1">INDEX($D:$D, $V8)</f>
        <v>LC_C2_nor</v>
      </c>
      <c r="Y8" s="6">
        <f>MATCH(Z8, Backup_v02!$L:$L, 0)</f>
        <v>5</v>
      </c>
      <c r="Z8" s="6" t="s">
        <v>740</v>
      </c>
      <c r="AA8" s="6" t="s">
        <v>1569</v>
      </c>
      <c r="AB8" s="6" t="s">
        <v>740</v>
      </c>
      <c r="AC8" s="6" t="b">
        <f t="shared" ref="AC8:AC33" si="3">AB8=Z8</f>
        <v>1</v>
      </c>
      <c r="AD8" s="6" t="str">
        <f t="shared" ref="AD8:AD69" ca="1" si="4">VLOOKUP($Z8,$B$7:$D$69, 3, 0)</f>
        <v>LC_C2_nor</v>
      </c>
      <c r="AE8" s="6" t="str">
        <f t="shared" ref="AE8:AE69" ca="1" si="5">INDIRECT($B$4&amp;"!"&amp;ADDRESS($Y8, C$4))</f>
        <v>current smoker</v>
      </c>
      <c r="AF8" s="19" t="str">
        <f ca="1">IF(ISERROR(SEARCH("never smoker", $AE8, 1)),  IF($AE8="NA", "NA", "smoker"), "never smoker")</f>
        <v>smoker</v>
      </c>
      <c r="AI8" s="20" t="s">
        <v>1574</v>
      </c>
      <c r="AJ8" s="20" t="str">
        <f t="shared" ref="AJ8:AJ41" si="6">"LC_"&amp;AI8</f>
        <v>LC_C7</v>
      </c>
      <c r="AK8" s="20" t="str">
        <f t="shared" ref="AK8:AK41" ca="1" si="7">VLOOKUP($AJ8, $AD$7:$AF$69, 3, 0)</f>
        <v>smoker</v>
      </c>
      <c r="AM8" s="30" t="s">
        <v>1613</v>
      </c>
      <c r="AN8" s="30">
        <f ca="1">COUNTIF($AK$7:$AK$15, $AM8)</f>
        <v>1</v>
      </c>
      <c r="AO8" s="31">
        <f ca="1">AN8/AN$10</f>
        <v>0.1111111111111111</v>
      </c>
    </row>
    <row r="9" spans="2:41" x14ac:dyDescent="0.4">
      <c r="B9" s="23" t="s">
        <v>33</v>
      </c>
      <c r="C9" s="24">
        <f>MATCH($B9, Backup_v02!$L:$L, 0)</f>
        <v>4</v>
      </c>
      <c r="D9" s="25" t="str">
        <f t="shared" ca="1" si="0"/>
        <v>LC_C2</v>
      </c>
      <c r="E9" s="26">
        <f ca="1">IF(ISERROR(SEARCH(E$6, $D9)), 0, 1)</f>
        <v>0</v>
      </c>
      <c r="G9" s="32" t="s">
        <v>1567</v>
      </c>
      <c r="H9" s="32">
        <f>COUNTA(B7:B176)</f>
        <v>168</v>
      </c>
      <c r="I9" s="32">
        <f ca="1">SUM(E:E)</f>
        <v>77</v>
      </c>
      <c r="J9" s="32">
        <f ca="1">H9-I9</f>
        <v>91</v>
      </c>
      <c r="L9" s="23" t="s">
        <v>296</v>
      </c>
      <c r="M9" s="23" t="s">
        <v>924</v>
      </c>
      <c r="N9" s="18"/>
      <c r="O9" s="6">
        <f>MATCH(L9, Backup_v02!$L:$L, 0)</f>
        <v>59</v>
      </c>
      <c r="P9" s="6">
        <f t="shared" ca="1" si="1"/>
        <v>73</v>
      </c>
      <c r="Q9" s="6" t="str">
        <f t="shared" ca="1" si="1"/>
        <v>male</v>
      </c>
      <c r="R9" s="6" t="str">
        <f t="shared" ca="1" si="1"/>
        <v>smoker</v>
      </c>
      <c r="S9" s="6" t="str">
        <f t="shared" ca="1" si="1"/>
        <v>1B</v>
      </c>
      <c r="U9" s="29" t="str">
        <f t="shared" si="2"/>
        <v>ERR164475</v>
      </c>
      <c r="V9" s="26">
        <f>MATCH($U9, $B:$B, 0)</f>
        <v>12</v>
      </c>
      <c r="W9" s="29" t="str">
        <f ca="1">INDEX($D:$D, $V9)</f>
        <v>LC_C3_nor</v>
      </c>
      <c r="Y9" s="6">
        <f>MATCH(Z9, Backup_v02!$L:$L, 0)</f>
        <v>7</v>
      </c>
      <c r="Z9" s="6" t="s">
        <v>748</v>
      </c>
      <c r="AA9" s="6" t="s">
        <v>1569</v>
      </c>
      <c r="AB9" s="6" t="s">
        <v>748</v>
      </c>
      <c r="AC9" s="6" t="b">
        <f t="shared" si="3"/>
        <v>1</v>
      </c>
      <c r="AD9" s="6" t="str">
        <f t="shared" ca="1" si="4"/>
        <v>LC_C3_nor</v>
      </c>
      <c r="AE9" s="6" t="str">
        <f t="shared" ca="1" si="5"/>
        <v>never smoker</v>
      </c>
      <c r="AF9" s="19" t="str">
        <f ca="1">IF(ISERROR(SEARCH("never smoker", $AE9, 1)),  IF($AE9="NA", "NA", "smoker"), "never smoker")</f>
        <v>never smoker</v>
      </c>
      <c r="AI9" s="20" t="s">
        <v>1575</v>
      </c>
      <c r="AJ9" s="20" t="str">
        <f t="shared" si="6"/>
        <v>LC_C18</v>
      </c>
      <c r="AK9" s="20" t="str">
        <f t="shared" ca="1" si="7"/>
        <v>smoker</v>
      </c>
      <c r="AM9" s="30" t="s">
        <v>57</v>
      </c>
      <c r="AN9" s="30">
        <f ca="1">COUNTIF($AK$7:$AK$15, $AM9)</f>
        <v>0</v>
      </c>
      <c r="AO9" s="31">
        <f ca="1">AN9/AN$10</f>
        <v>0</v>
      </c>
    </row>
    <row r="10" spans="2:41" x14ac:dyDescent="0.4">
      <c r="B10" s="23" t="s">
        <v>740</v>
      </c>
      <c r="C10" s="24">
        <f>MATCH($B10, Backup_v02!$L:$L, 0)</f>
        <v>5</v>
      </c>
      <c r="D10" s="25" t="str">
        <f t="shared" ca="1" si="0"/>
        <v>LC_C2_nor</v>
      </c>
      <c r="E10" s="26">
        <f ca="1">IF(ISERROR(SEARCH(E$6, $D10)), 0, 1)</f>
        <v>1</v>
      </c>
      <c r="L10" s="23" t="s">
        <v>288</v>
      </c>
      <c r="M10" s="23" t="s">
        <v>916</v>
      </c>
      <c r="N10" s="18"/>
      <c r="O10" s="6">
        <f>MATCH(L10, Backup_v02!$L:$L, 0)</f>
        <v>57</v>
      </c>
      <c r="P10" s="6">
        <f t="shared" ca="1" si="1"/>
        <v>62</v>
      </c>
      <c r="Q10" s="6" t="str">
        <f t="shared" ca="1" si="1"/>
        <v>male</v>
      </c>
      <c r="R10" s="6" t="str">
        <f t="shared" ca="1" si="1"/>
        <v>NA</v>
      </c>
      <c r="S10" s="6" t="str">
        <f t="shared" ca="1" si="1"/>
        <v>NA</v>
      </c>
      <c r="U10" s="29" t="str">
        <f t="shared" si="2"/>
        <v>ERR164476</v>
      </c>
      <c r="V10" s="26">
        <f>MATCH($U10, $B:$B, 0)</f>
        <v>15</v>
      </c>
      <c r="W10" s="29" t="str">
        <f ca="1">INDEX($D:$D, $V10)</f>
        <v>LC_C5_nor</v>
      </c>
      <c r="Y10" s="6">
        <f>MATCH(Z10, Backup_v02!$L:$L, 0)</f>
        <v>10</v>
      </c>
      <c r="Z10" s="6" t="s">
        <v>756</v>
      </c>
      <c r="AA10" s="6" t="s">
        <v>1569</v>
      </c>
      <c r="AB10" s="6" t="s">
        <v>756</v>
      </c>
      <c r="AC10" s="6" t="b">
        <f t="shared" si="3"/>
        <v>1</v>
      </c>
      <c r="AD10" s="6" t="str">
        <f t="shared" ca="1" si="4"/>
        <v>LC_C5_nor</v>
      </c>
      <c r="AE10" s="6" t="str">
        <f t="shared" ca="1" si="5"/>
        <v>NA</v>
      </c>
      <c r="AF10" s="19" t="str">
        <f ca="1">IF(ISERROR(SEARCH("never smoker", $AE10, 1)),  IF($AE10="NA", "NA", "smoker"), "never smoker")</f>
        <v>NA</v>
      </c>
      <c r="AI10" s="20" t="s">
        <v>1576</v>
      </c>
      <c r="AJ10" s="20" t="str">
        <f t="shared" si="6"/>
        <v>LC_C4</v>
      </c>
      <c r="AK10" s="20" t="str">
        <f t="shared" ca="1" si="7"/>
        <v>never smoker</v>
      </c>
      <c r="AM10" s="33" t="s">
        <v>1567</v>
      </c>
      <c r="AN10" s="33">
        <f ca="1">SUM(AN7:AN9)</f>
        <v>9</v>
      </c>
      <c r="AO10" s="34">
        <f ca="1">SUM(AO7:AO9)</f>
        <v>1</v>
      </c>
    </row>
    <row r="11" spans="2:41" x14ac:dyDescent="0.4">
      <c r="B11" s="23" t="s">
        <v>43</v>
      </c>
      <c r="C11" s="24">
        <f>MATCH($B11, Backup_v02!$L:$L, 0)</f>
        <v>6</v>
      </c>
      <c r="D11" s="25" t="str">
        <f t="shared" ca="1" si="0"/>
        <v>LC_C3</v>
      </c>
      <c r="E11" s="26">
        <f ca="1">IF(ISERROR(SEARCH(E$6, $D11)), 0, 1)</f>
        <v>0</v>
      </c>
      <c r="L11" s="23" t="s">
        <v>280</v>
      </c>
      <c r="M11" s="23" t="s">
        <v>908</v>
      </c>
      <c r="N11" s="18"/>
      <c r="O11" s="6">
        <f>MATCH(L11, Backup_v02!$L:$L, 0)</f>
        <v>56</v>
      </c>
      <c r="P11" s="6">
        <f t="shared" ca="1" si="1"/>
        <v>58</v>
      </c>
      <c r="Q11" s="6" t="str">
        <f t="shared" ca="1" si="1"/>
        <v>male</v>
      </c>
      <c r="R11" s="6" t="str">
        <f t="shared" ca="1" si="1"/>
        <v>current smoker</v>
      </c>
      <c r="S11" s="6" t="str">
        <f t="shared" ca="1" si="1"/>
        <v>1A</v>
      </c>
      <c r="U11" s="29" t="str">
        <f t="shared" si="2"/>
        <v>ERR164477</v>
      </c>
      <c r="V11" s="26">
        <f>MATCH($U11, $B:$B, 0)</f>
        <v>18</v>
      </c>
      <c r="W11" s="29" t="str">
        <f ca="1">INDEX($D:$D, $V11)</f>
        <v>LC_C7_nor</v>
      </c>
      <c r="Y11" s="6">
        <f>MATCH(Z11, Backup_v02!$L:$L, 0)</f>
        <v>13</v>
      </c>
      <c r="Z11" s="6" t="s">
        <v>764</v>
      </c>
      <c r="AA11" s="6" t="s">
        <v>1569</v>
      </c>
      <c r="AB11" s="6" t="s">
        <v>764</v>
      </c>
      <c r="AC11" s="6" t="b">
        <f t="shared" si="3"/>
        <v>1</v>
      </c>
      <c r="AD11" s="6" t="str">
        <f t="shared" ca="1" si="4"/>
        <v>LC_C7_nor</v>
      </c>
      <c r="AE11" s="6" t="str">
        <f t="shared" ca="1" si="5"/>
        <v>smoker</v>
      </c>
      <c r="AF11" s="19" t="str">
        <f ca="1">IF(ISERROR(SEARCH("never smoker", $AE11, 1)),  IF($AE11="NA", "NA", "smoker"), "never smoker")</f>
        <v>smoker</v>
      </c>
      <c r="AI11" s="20" t="s">
        <v>1577</v>
      </c>
      <c r="AJ11" s="20" t="str">
        <f t="shared" si="6"/>
        <v>LC_C9</v>
      </c>
      <c r="AK11" s="20" t="str">
        <f t="shared" ca="1" si="7"/>
        <v>smoker</v>
      </c>
    </row>
    <row r="12" spans="2:41" ht="15" x14ac:dyDescent="0.85">
      <c r="B12" s="23" t="s">
        <v>748</v>
      </c>
      <c r="C12" s="24">
        <f>MATCH($B12, Backup_v02!$L:$L, 0)</f>
        <v>7</v>
      </c>
      <c r="D12" s="25" t="str">
        <f t="shared" ca="1" si="0"/>
        <v>LC_C3_nor</v>
      </c>
      <c r="E12" s="26">
        <f ca="1">IF(ISERROR(SEARCH(E$6, $D12)), 0, 1)</f>
        <v>1</v>
      </c>
      <c r="L12" s="23" t="s">
        <v>272</v>
      </c>
      <c r="M12" s="23" t="s">
        <v>900</v>
      </c>
      <c r="N12" s="18"/>
      <c r="O12" s="6">
        <f>MATCH(L12, Backup_v02!$L:$L, 0)</f>
        <v>54</v>
      </c>
      <c r="P12" s="6">
        <f t="shared" ca="1" si="1"/>
        <v>61</v>
      </c>
      <c r="Q12" s="6" t="str">
        <f t="shared" ca="1" si="1"/>
        <v>female</v>
      </c>
      <c r="R12" s="6" t="str">
        <f t="shared" ca="1" si="1"/>
        <v>never smoker</v>
      </c>
      <c r="S12" s="6" t="str">
        <f t="shared" ca="1" si="1"/>
        <v>1A</v>
      </c>
      <c r="U12" s="29" t="str">
        <f t="shared" si="2"/>
        <v>ERR164478</v>
      </c>
      <c r="V12" s="26">
        <f>MATCH($U12, $B:$B, 0)</f>
        <v>21</v>
      </c>
      <c r="W12" s="29" t="str">
        <f ca="1">INDEX($D:$D, $V12)</f>
        <v>LC_C9_nor</v>
      </c>
      <c r="Y12" s="6">
        <f>MATCH(Z12, Backup_v02!$L:$L, 0)</f>
        <v>16</v>
      </c>
      <c r="Z12" s="6" t="s">
        <v>772</v>
      </c>
      <c r="AA12" s="6" t="s">
        <v>1569</v>
      </c>
      <c r="AB12" s="6" t="s">
        <v>772</v>
      </c>
      <c r="AC12" s="6" t="b">
        <f t="shared" si="3"/>
        <v>1</v>
      </c>
      <c r="AD12" s="6" t="str">
        <f t="shared" ca="1" si="4"/>
        <v>LC_C9_nor</v>
      </c>
      <c r="AE12" s="6" t="str">
        <f t="shared" ca="1" si="5"/>
        <v>smoker</v>
      </c>
      <c r="AF12" s="19" t="str">
        <f t="shared" ref="AF12:AF69" ca="1" si="8">IF(ISERROR(SEARCH("never smoker", $AE12, 1)),  IF($AE12="NA", "NA", "smoker"), "never smoker")</f>
        <v>smoker</v>
      </c>
      <c r="AI12" s="20" t="s">
        <v>1578</v>
      </c>
      <c r="AJ12" s="20" t="str">
        <f t="shared" si="6"/>
        <v>LC_C8</v>
      </c>
      <c r="AK12" s="20" t="str">
        <f t="shared" ca="1" si="7"/>
        <v>smoker</v>
      </c>
      <c r="AN12" s="12" t="s">
        <v>1610</v>
      </c>
      <c r="AO12" s="12" t="s">
        <v>1611</v>
      </c>
    </row>
    <row r="13" spans="2:41" x14ac:dyDescent="0.4">
      <c r="B13" s="23" t="s">
        <v>52</v>
      </c>
      <c r="C13" s="24">
        <f>MATCH($B13, Backup_v02!$L:$L, 0)</f>
        <v>8</v>
      </c>
      <c r="D13" s="25" t="str">
        <f t="shared" ca="1" si="0"/>
        <v>LC_C4</v>
      </c>
      <c r="E13" s="26">
        <f ca="1">IF(ISERROR(SEARCH(E$6, $D13)), 0, 1)</f>
        <v>0</v>
      </c>
      <c r="L13" s="23" t="s">
        <v>264</v>
      </c>
      <c r="M13" s="23" t="s">
        <v>892</v>
      </c>
      <c r="N13" s="18"/>
      <c r="O13" s="6">
        <f>MATCH(L13, Backup_v02!$L:$L, 0)</f>
        <v>52</v>
      </c>
      <c r="P13" s="6">
        <f t="shared" ca="1" si="1"/>
        <v>38</v>
      </c>
      <c r="Q13" s="6" t="str">
        <f t="shared" ca="1" si="1"/>
        <v>female</v>
      </c>
      <c r="R13" s="6" t="str">
        <f t="shared" ca="1" si="1"/>
        <v>never smoker</v>
      </c>
      <c r="S13" s="6" t="str">
        <f t="shared" ca="1" si="1"/>
        <v>1A</v>
      </c>
      <c r="U13" s="29" t="str">
        <f t="shared" si="2"/>
        <v>ERR164479</v>
      </c>
      <c r="V13" s="26">
        <f>MATCH($U13, $B:$B, 0)</f>
        <v>23</v>
      </c>
      <c r="W13" s="29" t="str">
        <f ca="1">INDEX($D:$D, $V13)</f>
        <v>LC_C10_nor</v>
      </c>
      <c r="Y13" s="6">
        <f>MATCH(Z13, Backup_v02!$L:$L, 0)</f>
        <v>18</v>
      </c>
      <c r="Z13" s="6" t="s">
        <v>780</v>
      </c>
      <c r="AA13" s="6" t="s">
        <v>1569</v>
      </c>
      <c r="AB13" s="6" t="s">
        <v>780</v>
      </c>
      <c r="AC13" s="6" t="b">
        <f t="shared" si="3"/>
        <v>1</v>
      </c>
      <c r="AD13" s="6" t="str">
        <f t="shared" ca="1" si="4"/>
        <v>LC_C10_nor</v>
      </c>
      <c r="AE13" s="6" t="str">
        <f t="shared" ca="1" si="5"/>
        <v>never smoker</v>
      </c>
      <c r="AF13" s="19" t="str">
        <f t="shared" ca="1" si="8"/>
        <v>never smoker</v>
      </c>
      <c r="AI13" s="20" t="s">
        <v>1579</v>
      </c>
      <c r="AJ13" s="20" t="str">
        <f t="shared" si="6"/>
        <v>LC_C21</v>
      </c>
      <c r="AK13" s="20" t="str">
        <f t="shared" ca="1" si="7"/>
        <v>smoker</v>
      </c>
      <c r="AM13" s="21" t="s">
        <v>1612</v>
      </c>
      <c r="AN13" s="21">
        <f ca="1">COUNTIF($AK$16:$AK$28, $AM13)</f>
        <v>3</v>
      </c>
      <c r="AO13" s="22">
        <f ca="1">AN13/AN$16</f>
        <v>0.23076923076923078</v>
      </c>
    </row>
    <row r="14" spans="2:41" x14ac:dyDescent="0.4">
      <c r="B14" s="23" t="s">
        <v>62</v>
      </c>
      <c r="C14" s="24">
        <f>MATCH($B14, Backup_v02!$L:$L, 0)</f>
        <v>9</v>
      </c>
      <c r="D14" s="25" t="str">
        <f t="shared" ca="1" si="0"/>
        <v>LC_C5</v>
      </c>
      <c r="E14" s="26">
        <f ca="1">IF(ISERROR(SEARCH(E$6, $D14)), 0, 1)</f>
        <v>0</v>
      </c>
      <c r="L14" s="23" t="s">
        <v>256</v>
      </c>
      <c r="M14" s="23" t="s">
        <v>884</v>
      </c>
      <c r="N14" s="18"/>
      <c r="O14" s="6">
        <f>MATCH(L14, Backup_v02!$L:$L, 0)</f>
        <v>50</v>
      </c>
      <c r="P14" s="6">
        <f t="shared" ca="1" si="1"/>
        <v>60</v>
      </c>
      <c r="Q14" s="6" t="str">
        <f t="shared" ca="1" si="1"/>
        <v>female</v>
      </c>
      <c r="R14" s="6" t="str">
        <f t="shared" ca="1" si="1"/>
        <v>never smoker</v>
      </c>
      <c r="S14" s="6">
        <f t="shared" ca="1" si="1"/>
        <v>4</v>
      </c>
      <c r="U14" s="29" t="str">
        <f t="shared" si="2"/>
        <v>ERR164480</v>
      </c>
      <c r="V14" s="26">
        <f>MATCH($U14, $B:$B, 0)</f>
        <v>25</v>
      </c>
      <c r="W14" s="29" t="str">
        <f ca="1">INDEX($D:$D, $V14)</f>
        <v>LC_C11_nor</v>
      </c>
      <c r="Y14" s="6">
        <f>MATCH(Z14, Backup_v02!$L:$L, 0)</f>
        <v>20</v>
      </c>
      <c r="Z14" s="6" t="s">
        <v>788</v>
      </c>
      <c r="AA14" s="6" t="s">
        <v>1569</v>
      </c>
      <c r="AB14" s="6" t="s">
        <v>788</v>
      </c>
      <c r="AC14" s="6" t="b">
        <f t="shared" si="3"/>
        <v>1</v>
      </c>
      <c r="AD14" s="6" t="str">
        <f t="shared" ca="1" si="4"/>
        <v>LC_C11_nor</v>
      </c>
      <c r="AE14" s="6" t="str">
        <f t="shared" ca="1" si="5"/>
        <v>never smoker</v>
      </c>
      <c r="AF14" s="19" t="str">
        <f t="shared" ca="1" si="8"/>
        <v>never smoker</v>
      </c>
      <c r="AI14" s="20" t="s">
        <v>1580</v>
      </c>
      <c r="AJ14" s="20" t="str">
        <f t="shared" si="6"/>
        <v>LC_C13</v>
      </c>
      <c r="AK14" s="20" t="str">
        <f t="shared" ca="1" si="7"/>
        <v>smoker</v>
      </c>
      <c r="AM14" s="30" t="s">
        <v>1613</v>
      </c>
      <c r="AN14" s="30">
        <f t="shared" ref="AN14:AN15" ca="1" si="9">COUNTIF($AK$16:$AK$28, $AM14)</f>
        <v>9</v>
      </c>
      <c r="AO14" s="31">
        <f t="shared" ref="AO14:AO15" ca="1" si="10">AN14/AN$16</f>
        <v>0.69230769230769229</v>
      </c>
    </row>
    <row r="15" spans="2:41" x14ac:dyDescent="0.4">
      <c r="B15" s="23" t="s">
        <v>756</v>
      </c>
      <c r="C15" s="24">
        <f>MATCH($B15, Backup_v02!$L:$L, 0)</f>
        <v>10</v>
      </c>
      <c r="D15" s="25" t="str">
        <f t="shared" ca="1" si="0"/>
        <v>LC_C5_nor</v>
      </c>
      <c r="E15" s="26">
        <f ca="1">IF(ISERROR(SEARCH(E$6, $D15)), 0, 1)</f>
        <v>1</v>
      </c>
      <c r="L15" s="23" t="s">
        <v>248</v>
      </c>
      <c r="M15" s="23" t="s">
        <v>876</v>
      </c>
      <c r="N15" s="18"/>
      <c r="O15" s="6">
        <f>MATCH(L15, Backup_v02!$L:$L, 0)</f>
        <v>48</v>
      </c>
      <c r="P15" s="6">
        <f t="shared" ca="1" si="1"/>
        <v>59</v>
      </c>
      <c r="Q15" s="6" t="str">
        <f t="shared" ca="1" si="1"/>
        <v>female</v>
      </c>
      <c r="R15" s="6" t="str">
        <f t="shared" ca="1" si="1"/>
        <v>never smoker</v>
      </c>
      <c r="S15" s="6" t="str">
        <f t="shared" ca="1" si="1"/>
        <v>NA</v>
      </c>
      <c r="U15" s="28" t="str">
        <f t="shared" si="2"/>
        <v>ERR164481</v>
      </c>
      <c r="V15" s="35">
        <f>MATCH($U15, $B:$B, 0)</f>
        <v>27</v>
      </c>
      <c r="W15" s="28" t="str">
        <f ca="1">INDEX($D:$D, $V15)</f>
        <v>LC_C12_nor</v>
      </c>
      <c r="Y15" s="6">
        <f>MATCH(Z15, Backup_v02!$L:$L, 0)</f>
        <v>22</v>
      </c>
      <c r="Z15" s="6" t="s">
        <v>796</v>
      </c>
      <c r="AA15" s="6" t="s">
        <v>1569</v>
      </c>
      <c r="AB15" s="6" t="s">
        <v>796</v>
      </c>
      <c r="AC15" s="6" t="b">
        <f t="shared" si="3"/>
        <v>1</v>
      </c>
      <c r="AD15" s="6" t="str">
        <f t="shared" ca="1" si="4"/>
        <v>LC_C12_nor</v>
      </c>
      <c r="AE15" s="6" t="str">
        <f t="shared" ca="1" si="5"/>
        <v>NA</v>
      </c>
      <c r="AF15" s="19" t="str">
        <f t="shared" ca="1" si="8"/>
        <v>NA</v>
      </c>
      <c r="AI15" s="20" t="s">
        <v>1581</v>
      </c>
      <c r="AJ15" s="20" t="str">
        <f t="shared" si="6"/>
        <v>LC_C15</v>
      </c>
      <c r="AK15" s="20" t="str">
        <f t="shared" ca="1" si="7"/>
        <v>smoker</v>
      </c>
      <c r="AM15" s="30" t="s">
        <v>57</v>
      </c>
      <c r="AN15" s="30">
        <f t="shared" ca="1" si="9"/>
        <v>1</v>
      </c>
      <c r="AO15" s="31">
        <f t="shared" ca="1" si="10"/>
        <v>7.6923076923076927E-2</v>
      </c>
    </row>
    <row r="16" spans="2:41" x14ac:dyDescent="0.4">
      <c r="B16" s="23" t="s">
        <v>70</v>
      </c>
      <c r="C16" s="24">
        <f>MATCH($B16, Backup_v02!$L:$L, 0)</f>
        <v>11</v>
      </c>
      <c r="D16" s="25" t="str">
        <f t="shared" ca="1" si="0"/>
        <v>LC_C6</v>
      </c>
      <c r="E16" s="26">
        <f ca="1">IF(ISERROR(SEARCH(E$6, $D16)), 0, 1)</f>
        <v>0</v>
      </c>
      <c r="L16" s="23" t="s">
        <v>240</v>
      </c>
      <c r="M16" s="23" t="s">
        <v>868</v>
      </c>
      <c r="N16" s="18"/>
      <c r="O16" s="6">
        <f>MATCH(L16, Backup_v02!$L:$L, 0)</f>
        <v>47</v>
      </c>
      <c r="P16" s="6">
        <f t="shared" ca="1" si="1"/>
        <v>51</v>
      </c>
      <c r="Q16" s="6" t="str">
        <f t="shared" ca="1" si="1"/>
        <v>female</v>
      </c>
      <c r="R16" s="6" t="str">
        <f t="shared" ca="1" si="1"/>
        <v>never smoker</v>
      </c>
      <c r="S16" s="6" t="str">
        <f t="shared" ca="1" si="1"/>
        <v>1A</v>
      </c>
      <c r="Y16" s="6">
        <f>MATCH(Z16, Backup_v02!$L:$L, 0)</f>
        <v>25</v>
      </c>
      <c r="Z16" s="6" t="s">
        <v>804</v>
      </c>
      <c r="AA16" s="6" t="s">
        <v>1569</v>
      </c>
      <c r="AB16" s="6" t="s">
        <v>804</v>
      </c>
      <c r="AC16" s="6" t="b">
        <f t="shared" si="3"/>
        <v>1</v>
      </c>
      <c r="AD16" s="6" t="str">
        <f t="shared" ca="1" si="4"/>
        <v>LC_C14_nor</v>
      </c>
      <c r="AE16" s="6" t="str">
        <f t="shared" ca="1" si="5"/>
        <v>current smoker</v>
      </c>
      <c r="AF16" s="19" t="str">
        <f t="shared" ca="1" si="8"/>
        <v>smoker</v>
      </c>
      <c r="AI16" s="6" t="s">
        <v>1582</v>
      </c>
      <c r="AJ16" s="6" t="str">
        <f t="shared" si="6"/>
        <v>LC_C10</v>
      </c>
      <c r="AK16" s="6" t="str">
        <f t="shared" ca="1" si="7"/>
        <v>never smoker</v>
      </c>
      <c r="AM16" s="33" t="s">
        <v>1567</v>
      </c>
      <c r="AN16" s="33">
        <f ca="1">SUM(AN13:AN15)</f>
        <v>13</v>
      </c>
      <c r="AO16" s="34">
        <f ca="1">SUM(AO13:AO15)</f>
        <v>1</v>
      </c>
    </row>
    <row r="17" spans="2:37" x14ac:dyDescent="0.4">
      <c r="B17" s="23" t="s">
        <v>78</v>
      </c>
      <c r="C17" s="24">
        <f>MATCH($B17, Backup_v02!$L:$L, 0)</f>
        <v>12</v>
      </c>
      <c r="D17" s="25" t="str">
        <f t="shared" ca="1" si="0"/>
        <v>LC_C7</v>
      </c>
      <c r="E17" s="26">
        <f ca="1">IF(ISERROR(SEARCH(E$6, $D17)), 0, 1)</f>
        <v>0</v>
      </c>
      <c r="L17" s="23" t="s">
        <v>232</v>
      </c>
      <c r="M17" s="23" t="s">
        <v>860</v>
      </c>
      <c r="N17" s="18"/>
      <c r="O17" s="6">
        <f>MATCH(L17, Backup_v02!$L:$L, 0)</f>
        <v>46</v>
      </c>
      <c r="P17" s="6">
        <f t="shared" ca="1" si="1"/>
        <v>61</v>
      </c>
      <c r="Q17" s="6" t="str">
        <f t="shared" ca="1" si="1"/>
        <v>male</v>
      </c>
      <c r="R17" s="6" t="str">
        <f t="shared" ca="1" si="1"/>
        <v>smoker</v>
      </c>
      <c r="S17" s="6" t="str">
        <f t="shared" ca="1" si="1"/>
        <v>1A</v>
      </c>
      <c r="Y17" s="6">
        <f>MATCH(Z17, Backup_v02!$L:$L, 0)</f>
        <v>28</v>
      </c>
      <c r="Z17" s="6" t="s">
        <v>812</v>
      </c>
      <c r="AA17" s="6" t="s">
        <v>1569</v>
      </c>
      <c r="AB17" s="6" t="s">
        <v>812</v>
      </c>
      <c r="AC17" s="6" t="b">
        <f t="shared" si="3"/>
        <v>1</v>
      </c>
      <c r="AD17" s="6" t="str">
        <f t="shared" ca="1" si="4"/>
        <v>LC_C16_nor</v>
      </c>
      <c r="AE17" s="6" t="str">
        <f t="shared" ca="1" si="5"/>
        <v>never smoker</v>
      </c>
      <c r="AF17" s="19" t="str">
        <f t="shared" ca="1" si="8"/>
        <v>never smoker</v>
      </c>
      <c r="AI17" s="6" t="s">
        <v>1583</v>
      </c>
      <c r="AJ17" s="6" t="str">
        <f t="shared" si="6"/>
        <v>LC_C36</v>
      </c>
      <c r="AK17" s="6" t="str">
        <f t="shared" ca="1" si="7"/>
        <v>never smoker</v>
      </c>
    </row>
    <row r="18" spans="2:37" x14ac:dyDescent="0.4">
      <c r="B18" s="23" t="s">
        <v>764</v>
      </c>
      <c r="C18" s="24">
        <f>MATCH($B18, Backup_v02!$L:$L, 0)</f>
        <v>13</v>
      </c>
      <c r="D18" s="25" t="str">
        <f t="shared" ca="1" si="0"/>
        <v>LC_C7_nor</v>
      </c>
      <c r="E18" s="26">
        <f ca="1">IF(ISERROR(SEARCH(E$6, $D18)), 0, 1)</f>
        <v>1</v>
      </c>
      <c r="L18" s="23" t="s">
        <v>224</v>
      </c>
      <c r="M18" s="23" t="s">
        <v>852</v>
      </c>
      <c r="N18" s="18"/>
      <c r="O18" s="6">
        <f>MATCH(L18, Backup_v02!$L:$L, 0)</f>
        <v>44</v>
      </c>
      <c r="P18" s="6">
        <f t="shared" ca="1" si="1"/>
        <v>66</v>
      </c>
      <c r="Q18" s="6" t="str">
        <f t="shared" ca="1" si="1"/>
        <v>male</v>
      </c>
      <c r="R18" s="6" t="str">
        <f t="shared" ca="1" si="1"/>
        <v>smoker</v>
      </c>
      <c r="S18" s="6" t="str">
        <f t="shared" ca="1" si="1"/>
        <v>1A</v>
      </c>
      <c r="Y18" s="6">
        <f>MATCH(Z18, Backup_v02!$L:$L, 0)</f>
        <v>30</v>
      </c>
      <c r="Z18" s="6" t="s">
        <v>820</v>
      </c>
      <c r="AA18" s="6" t="s">
        <v>1569</v>
      </c>
      <c r="AB18" s="6" t="s">
        <v>820</v>
      </c>
      <c r="AC18" s="6" t="b">
        <f t="shared" si="3"/>
        <v>1</v>
      </c>
      <c r="AD18" s="6" t="str">
        <f t="shared" ca="1" si="4"/>
        <v>LC_C17_nor</v>
      </c>
      <c r="AE18" s="6" t="str">
        <f t="shared" ca="1" si="5"/>
        <v>never smoker</v>
      </c>
      <c r="AF18" s="19" t="str">
        <f t="shared" ca="1" si="8"/>
        <v>never smoker</v>
      </c>
      <c r="AI18" s="6" t="s">
        <v>1584</v>
      </c>
      <c r="AJ18" s="6" t="str">
        <f t="shared" si="6"/>
        <v>LC_C22</v>
      </c>
      <c r="AK18" s="6" t="str">
        <f t="shared" ca="1" si="7"/>
        <v>smoker</v>
      </c>
    </row>
    <row r="19" spans="2:37" x14ac:dyDescent="0.4">
      <c r="B19" s="23" t="s">
        <v>87</v>
      </c>
      <c r="C19" s="24">
        <f>MATCH($B19, Backup_v02!$L:$L, 0)</f>
        <v>14</v>
      </c>
      <c r="D19" s="25" t="str">
        <f t="shared" ca="1" si="0"/>
        <v>LC_C8</v>
      </c>
      <c r="E19" s="26">
        <f ca="1">IF(ISERROR(SEARCH(E$6, $D19)), 0, 1)</f>
        <v>0</v>
      </c>
      <c r="L19" s="23" t="s">
        <v>216</v>
      </c>
      <c r="M19" s="23" t="s">
        <v>844</v>
      </c>
      <c r="N19" s="18"/>
      <c r="O19" s="6">
        <f>MATCH(L19, Backup_v02!$L:$L, 0)</f>
        <v>42</v>
      </c>
      <c r="P19" s="6">
        <f t="shared" ca="1" si="1"/>
        <v>66</v>
      </c>
      <c r="Q19" s="6" t="str">
        <f t="shared" ca="1" si="1"/>
        <v>female</v>
      </c>
      <c r="R19" s="6" t="str">
        <f t="shared" ca="1" si="1"/>
        <v>never smoker</v>
      </c>
      <c r="S19" s="6" t="str">
        <f t="shared" ca="1" si="1"/>
        <v>1A</v>
      </c>
      <c r="Y19" s="6">
        <f>MATCH(Z19, Backup_v02!$L:$L, 0)</f>
        <v>32</v>
      </c>
      <c r="Z19" s="6" t="s">
        <v>828</v>
      </c>
      <c r="AA19" s="6" t="s">
        <v>1569</v>
      </c>
      <c r="AB19" s="6" t="s">
        <v>828</v>
      </c>
      <c r="AC19" s="6" t="b">
        <f t="shared" si="3"/>
        <v>1</v>
      </c>
      <c r="AD19" s="6" t="str">
        <f t="shared" ca="1" si="4"/>
        <v>LC_C18_nor</v>
      </c>
      <c r="AE19" s="6" t="str">
        <f t="shared" ca="1" si="5"/>
        <v>smoker</v>
      </c>
      <c r="AF19" s="19" t="str">
        <f t="shared" ca="1" si="8"/>
        <v>smoker</v>
      </c>
      <c r="AI19" s="6" t="s">
        <v>1585</v>
      </c>
      <c r="AJ19" s="6" t="str">
        <f t="shared" si="6"/>
        <v>LC_C14</v>
      </c>
      <c r="AK19" s="6" t="str">
        <f t="shared" ca="1" si="7"/>
        <v>smoker</v>
      </c>
    </row>
    <row r="20" spans="2:37" x14ac:dyDescent="0.4">
      <c r="B20" s="23" t="s">
        <v>95</v>
      </c>
      <c r="C20" s="24">
        <f>MATCH($B20, Backup_v02!$L:$L, 0)</f>
        <v>15</v>
      </c>
      <c r="D20" s="25" t="str">
        <f t="shared" ca="1" si="0"/>
        <v>LC_C9</v>
      </c>
      <c r="E20" s="26">
        <f ca="1">IF(ISERROR(SEARCH(E$6, $D20)), 0, 1)</f>
        <v>0</v>
      </c>
      <c r="L20" s="23" t="s">
        <v>208</v>
      </c>
      <c r="M20" s="23" t="s">
        <v>836</v>
      </c>
      <c r="N20" s="18"/>
      <c r="O20" s="6">
        <f>MATCH(L20, Backup_v02!$L:$L, 0)</f>
        <v>41</v>
      </c>
      <c r="P20" s="6">
        <f t="shared" ca="1" si="1"/>
        <v>66</v>
      </c>
      <c r="Q20" s="6" t="str">
        <f t="shared" ca="1" si="1"/>
        <v>male</v>
      </c>
      <c r="R20" s="6" t="str">
        <f t="shared" ca="1" si="1"/>
        <v>NA</v>
      </c>
      <c r="S20" s="6" t="str">
        <f t="shared" ca="1" si="1"/>
        <v>3A</v>
      </c>
      <c r="Y20" s="6">
        <f>MATCH(Z20, Backup_v02!$L:$L, 0)</f>
        <v>34</v>
      </c>
      <c r="Z20" s="6" t="s">
        <v>836</v>
      </c>
      <c r="AA20" s="6" t="s">
        <v>1569</v>
      </c>
      <c r="AB20" s="6" t="s">
        <v>836</v>
      </c>
      <c r="AC20" s="6" t="b">
        <f t="shared" si="3"/>
        <v>1</v>
      </c>
      <c r="AD20" s="6" t="str">
        <f t="shared" ca="1" si="4"/>
        <v>LC_C19_nor</v>
      </c>
      <c r="AE20" s="6" t="str">
        <f t="shared" ca="1" si="5"/>
        <v>never smoker</v>
      </c>
      <c r="AF20" s="19" t="str">
        <f t="shared" ca="1" si="8"/>
        <v>never smoker</v>
      </c>
      <c r="AI20" s="6" t="s">
        <v>1586</v>
      </c>
      <c r="AJ20" s="6" t="str">
        <f t="shared" si="6"/>
        <v>LC_C26</v>
      </c>
      <c r="AK20" s="6" t="str">
        <f t="shared" ca="1" si="7"/>
        <v>smoker</v>
      </c>
    </row>
    <row r="21" spans="2:37" x14ac:dyDescent="0.4">
      <c r="B21" s="23" t="s">
        <v>772</v>
      </c>
      <c r="C21" s="24">
        <f>MATCH($B21, Backup_v02!$L:$L, 0)</f>
        <v>16</v>
      </c>
      <c r="D21" s="25" t="str">
        <f t="shared" ca="1" si="0"/>
        <v>LC_C9_nor</v>
      </c>
      <c r="E21" s="26">
        <f ca="1">IF(ISERROR(SEARCH(E$6, $D21)), 0, 1)</f>
        <v>1</v>
      </c>
      <c r="L21" s="23" t="s">
        <v>200</v>
      </c>
      <c r="M21" s="23" t="s">
        <v>828</v>
      </c>
      <c r="N21" s="18"/>
      <c r="O21" s="6">
        <f>MATCH(L21, Backup_v02!$L:$L, 0)</f>
        <v>39</v>
      </c>
      <c r="P21" s="6">
        <f t="shared" ca="1" si="1"/>
        <v>73</v>
      </c>
      <c r="Q21" s="6" t="str">
        <f t="shared" ca="1" si="1"/>
        <v>male</v>
      </c>
      <c r="R21" s="6" t="str">
        <f t="shared" ca="1" si="1"/>
        <v>smoker</v>
      </c>
      <c r="S21" s="6" t="str">
        <f t="shared" ca="1" si="1"/>
        <v>1A</v>
      </c>
      <c r="Y21" s="6">
        <f>MATCH(Z21, Backup_v02!$L:$L, 0)</f>
        <v>36</v>
      </c>
      <c r="Z21" s="6" t="s">
        <v>844</v>
      </c>
      <c r="AA21" s="6" t="s">
        <v>1569</v>
      </c>
      <c r="AB21" s="6" t="s">
        <v>844</v>
      </c>
      <c r="AC21" s="6" t="b">
        <f t="shared" si="3"/>
        <v>1</v>
      </c>
      <c r="AD21" s="6" t="str">
        <f t="shared" ca="1" si="4"/>
        <v>LC_C20_nor</v>
      </c>
      <c r="AE21" s="6" t="str">
        <f t="shared" ca="1" si="5"/>
        <v>smoker</v>
      </c>
      <c r="AF21" s="19" t="str">
        <f t="shared" ca="1" si="8"/>
        <v>smoker</v>
      </c>
      <c r="AI21" s="6" t="s">
        <v>1587</v>
      </c>
      <c r="AJ21" s="6" t="str">
        <f t="shared" si="6"/>
        <v>LC_C3</v>
      </c>
      <c r="AK21" s="6" t="str">
        <f t="shared" ca="1" si="7"/>
        <v>never smoker</v>
      </c>
    </row>
    <row r="22" spans="2:37" x14ac:dyDescent="0.4">
      <c r="B22" s="23" t="s">
        <v>104</v>
      </c>
      <c r="C22" s="24">
        <f>MATCH($B22, Backup_v02!$L:$L, 0)</f>
        <v>17</v>
      </c>
      <c r="D22" s="25" t="str">
        <f t="shared" ca="1" si="0"/>
        <v>LC_C10</v>
      </c>
      <c r="E22" s="26">
        <f ca="1">IF(ISERROR(SEARCH(E$6, $D22)), 0, 1)</f>
        <v>0</v>
      </c>
      <c r="L22" s="23" t="s">
        <v>192</v>
      </c>
      <c r="M22" s="23" t="s">
        <v>820</v>
      </c>
      <c r="N22" s="18"/>
      <c r="O22" s="6">
        <f>MATCH(L22, Backup_v02!$L:$L, 0)</f>
        <v>37</v>
      </c>
      <c r="P22" s="6">
        <f t="shared" ca="1" si="1"/>
        <v>42</v>
      </c>
      <c r="Q22" s="6" t="str">
        <f t="shared" ca="1" si="1"/>
        <v>male</v>
      </c>
      <c r="R22" s="6" t="str">
        <f t="shared" ca="1" si="1"/>
        <v>smoker</v>
      </c>
      <c r="S22" s="6" t="str">
        <f t="shared" ca="1" si="1"/>
        <v>1B</v>
      </c>
      <c r="Y22" s="6">
        <f>MATCH(Z22, Backup_v02!$L:$L, 0)</f>
        <v>38</v>
      </c>
      <c r="Z22" s="6" t="s">
        <v>852</v>
      </c>
      <c r="AA22" s="6" t="s">
        <v>1569</v>
      </c>
      <c r="AB22" s="6" t="s">
        <v>852</v>
      </c>
      <c r="AC22" s="6" t="b">
        <f t="shared" si="3"/>
        <v>1</v>
      </c>
      <c r="AD22" s="6" t="str">
        <f t="shared" ca="1" si="4"/>
        <v>LC_C21_nor</v>
      </c>
      <c r="AE22" s="6" t="str">
        <f t="shared" ca="1" si="5"/>
        <v>smoker</v>
      </c>
      <c r="AF22" s="19" t="str">
        <f t="shared" ca="1" si="8"/>
        <v>smoker</v>
      </c>
      <c r="AI22" s="6" t="s">
        <v>1588</v>
      </c>
      <c r="AJ22" s="6" t="str">
        <f t="shared" si="6"/>
        <v>LC_C30</v>
      </c>
      <c r="AK22" s="6" t="str">
        <f t="shared" ca="1" si="7"/>
        <v>never smoker</v>
      </c>
    </row>
    <row r="23" spans="2:37" x14ac:dyDescent="0.4">
      <c r="B23" s="23" t="s">
        <v>780</v>
      </c>
      <c r="C23" s="24">
        <f>MATCH($B23, Backup_v02!$L:$L, 0)</f>
        <v>18</v>
      </c>
      <c r="D23" s="25" t="str">
        <f t="shared" ca="1" si="0"/>
        <v>LC_C10_nor</v>
      </c>
      <c r="E23" s="26">
        <f ca="1">IF(ISERROR(SEARCH(E$6, $D23)), 0, 1)</f>
        <v>1</v>
      </c>
      <c r="L23" s="23" t="s">
        <v>184</v>
      </c>
      <c r="M23" s="23" t="s">
        <v>812</v>
      </c>
      <c r="N23" s="18"/>
      <c r="O23" s="6">
        <f>MATCH(L23, Backup_v02!$L:$L, 0)</f>
        <v>35</v>
      </c>
      <c r="P23" s="6">
        <f t="shared" ca="1" si="1"/>
        <v>65</v>
      </c>
      <c r="Q23" s="6" t="str">
        <f t="shared" ca="1" si="1"/>
        <v>male</v>
      </c>
      <c r="R23" s="6" t="str">
        <f t="shared" ca="1" si="1"/>
        <v>smoker</v>
      </c>
      <c r="S23" s="6" t="str">
        <f t="shared" ca="1" si="1"/>
        <v>1A</v>
      </c>
      <c r="Y23" s="6">
        <f>MATCH(Z23, Backup_v02!$L:$L, 0)</f>
        <v>40</v>
      </c>
      <c r="Z23" s="6" t="s">
        <v>860</v>
      </c>
      <c r="AA23" s="6" t="s">
        <v>1569</v>
      </c>
      <c r="AB23" s="6" t="s">
        <v>860</v>
      </c>
      <c r="AC23" s="6" t="b">
        <f t="shared" si="3"/>
        <v>1</v>
      </c>
      <c r="AD23" s="6" t="str">
        <f t="shared" ca="1" si="4"/>
        <v>LC_C22_nor</v>
      </c>
      <c r="AE23" s="6" t="str">
        <f t="shared" ca="1" si="5"/>
        <v>smoker</v>
      </c>
      <c r="AF23" s="19" t="str">
        <f t="shared" ca="1" si="8"/>
        <v>smoker</v>
      </c>
      <c r="AI23" s="6" t="s">
        <v>1589</v>
      </c>
      <c r="AJ23" s="6" t="str">
        <f t="shared" si="6"/>
        <v>LC_C16</v>
      </c>
      <c r="AK23" s="6" t="str">
        <f t="shared" ca="1" si="7"/>
        <v>never smoker</v>
      </c>
    </row>
    <row r="24" spans="2:37" x14ac:dyDescent="0.4">
      <c r="B24" s="23" t="s">
        <v>112</v>
      </c>
      <c r="C24" s="24">
        <f>MATCH($B24, Backup_v02!$L:$L, 0)</f>
        <v>19</v>
      </c>
      <c r="D24" s="25" t="str">
        <f t="shared" ca="1" si="0"/>
        <v>LC_C11</v>
      </c>
      <c r="E24" s="26">
        <f ca="1">IF(ISERROR(SEARCH(E$6, $D24)), 0, 1)</f>
        <v>0</v>
      </c>
      <c r="L24" s="23" t="s">
        <v>176</v>
      </c>
      <c r="M24" s="23" t="s">
        <v>804</v>
      </c>
      <c r="N24" s="18"/>
      <c r="O24" s="6">
        <f>MATCH(L24, Backup_v02!$L:$L, 0)</f>
        <v>33</v>
      </c>
      <c r="P24" s="6">
        <f t="shared" ca="1" si="1"/>
        <v>40</v>
      </c>
      <c r="Q24" s="6" t="str">
        <f t="shared" ca="1" si="1"/>
        <v>female</v>
      </c>
      <c r="R24" s="6" t="str">
        <f t="shared" ca="1" si="1"/>
        <v>never smoker</v>
      </c>
      <c r="S24" s="6">
        <f t="shared" ca="1" si="1"/>
        <v>4</v>
      </c>
      <c r="Y24" s="6">
        <f>MATCH(Z24, Backup_v02!$L:$L, 0)</f>
        <v>43</v>
      </c>
      <c r="Z24" s="6" t="s">
        <v>868</v>
      </c>
      <c r="AA24" s="6" t="s">
        <v>1569</v>
      </c>
      <c r="AB24" s="6" t="s">
        <v>868</v>
      </c>
      <c r="AC24" s="6" t="b">
        <f t="shared" si="3"/>
        <v>1</v>
      </c>
      <c r="AD24" s="6" t="str">
        <f t="shared" ca="1" si="4"/>
        <v>LC_C24_nor</v>
      </c>
      <c r="AE24" s="6" t="str">
        <f t="shared" ca="1" si="5"/>
        <v>never smoker</v>
      </c>
      <c r="AF24" s="19" t="str">
        <f t="shared" ca="1" si="8"/>
        <v>never smoker</v>
      </c>
      <c r="AI24" s="6" t="s">
        <v>1590</v>
      </c>
      <c r="AJ24" s="6" t="str">
        <f t="shared" si="6"/>
        <v>LC_C24</v>
      </c>
      <c r="AK24" s="6" t="str">
        <f t="shared" ca="1" si="7"/>
        <v>never smoker</v>
      </c>
    </row>
    <row r="25" spans="2:37" x14ac:dyDescent="0.4">
      <c r="B25" s="23" t="s">
        <v>788</v>
      </c>
      <c r="C25" s="24">
        <f>MATCH($B25, Backup_v02!$L:$L, 0)</f>
        <v>20</v>
      </c>
      <c r="D25" s="25" t="str">
        <f t="shared" ca="1" si="0"/>
        <v>LC_C11_nor</v>
      </c>
      <c r="E25" s="26">
        <f ca="1">IF(ISERROR(SEARCH(E$6, $D25)), 0, 1)</f>
        <v>1</v>
      </c>
      <c r="L25" s="23" t="s">
        <v>168</v>
      </c>
      <c r="M25" s="23" t="s">
        <v>796</v>
      </c>
      <c r="N25" s="18"/>
      <c r="O25" s="6">
        <f>MATCH(L25, Backup_v02!$L:$L, 0)</f>
        <v>31</v>
      </c>
      <c r="P25" s="6">
        <f t="shared" ca="1" si="1"/>
        <v>68</v>
      </c>
      <c r="Q25" s="6" t="str">
        <f t="shared" ca="1" si="1"/>
        <v>female</v>
      </c>
      <c r="R25" s="6" t="str">
        <f t="shared" ca="1" si="1"/>
        <v>smoker</v>
      </c>
      <c r="S25" s="6" t="str">
        <f t="shared" ca="1" si="1"/>
        <v>1B</v>
      </c>
      <c r="Y25" s="6">
        <f>MATCH(Z25, Backup_v02!$L:$L, 0)</f>
        <v>45</v>
      </c>
      <c r="Z25" s="6" t="s">
        <v>876</v>
      </c>
      <c r="AA25" s="6" t="s">
        <v>1569</v>
      </c>
      <c r="AB25" s="6" t="s">
        <v>876</v>
      </c>
      <c r="AC25" s="6" t="b">
        <f t="shared" si="3"/>
        <v>1</v>
      </c>
      <c r="AD25" s="6" t="str">
        <f t="shared" ca="1" si="4"/>
        <v>LC_C25_nor</v>
      </c>
      <c r="AE25" s="6" t="str">
        <f t="shared" ca="1" si="5"/>
        <v>smoker</v>
      </c>
      <c r="AF25" s="19" t="str">
        <f t="shared" ca="1" si="8"/>
        <v>smoker</v>
      </c>
      <c r="AI25" s="6" t="s">
        <v>1591</v>
      </c>
      <c r="AJ25" s="6" t="str">
        <f t="shared" si="6"/>
        <v>LC_C17</v>
      </c>
      <c r="AK25" s="6" t="str">
        <f t="shared" ca="1" si="7"/>
        <v>never smoker</v>
      </c>
    </row>
    <row r="26" spans="2:37" x14ac:dyDescent="0.4">
      <c r="B26" s="23" t="s">
        <v>120</v>
      </c>
      <c r="C26" s="24">
        <f>MATCH($B26, Backup_v02!$L:$L, 0)</f>
        <v>21</v>
      </c>
      <c r="D26" s="25" t="str">
        <f t="shared" ca="1" si="0"/>
        <v>LC_C12</v>
      </c>
      <c r="E26" s="26">
        <f ca="1">IF(ISERROR(SEARCH(E$6, $D26)), 0, 1)</f>
        <v>0</v>
      </c>
      <c r="L26" s="23" t="s">
        <v>160</v>
      </c>
      <c r="M26" s="23" t="s">
        <v>788</v>
      </c>
      <c r="N26" s="18"/>
      <c r="O26" s="6">
        <f>MATCH(L26, Backup_v02!$L:$L, 0)</f>
        <v>29</v>
      </c>
      <c r="P26" s="6">
        <f t="shared" ca="1" si="1"/>
        <v>64</v>
      </c>
      <c r="Q26" s="6" t="str">
        <f t="shared" ca="1" si="1"/>
        <v>female</v>
      </c>
      <c r="R26" s="6" t="str">
        <f t="shared" ca="1" si="1"/>
        <v>never smoker</v>
      </c>
      <c r="S26" s="6" t="str">
        <f t="shared" ca="1" si="1"/>
        <v>1A</v>
      </c>
      <c r="Y26" s="6">
        <f>MATCH(Z26, Backup_v02!$L:$L, 0)</f>
        <v>49</v>
      </c>
      <c r="Z26" s="6" t="s">
        <v>884</v>
      </c>
      <c r="AA26" s="6" t="s">
        <v>1569</v>
      </c>
      <c r="AB26" s="6" t="s">
        <v>884</v>
      </c>
      <c r="AC26" s="6" t="b">
        <f t="shared" si="3"/>
        <v>1</v>
      </c>
      <c r="AD26" s="6" t="str">
        <f t="shared" ca="1" si="4"/>
        <v>LC_C28_nor</v>
      </c>
      <c r="AE26" s="6" t="str">
        <f t="shared" ca="1" si="5"/>
        <v>never smoker</v>
      </c>
      <c r="AF26" s="19" t="str">
        <f t="shared" ca="1" si="8"/>
        <v>never smoker</v>
      </c>
      <c r="AI26" s="6" t="s">
        <v>1592</v>
      </c>
      <c r="AJ26" s="6" t="str">
        <f t="shared" si="6"/>
        <v>LC_C29</v>
      </c>
      <c r="AK26" s="6" t="str">
        <f t="shared" ca="1" si="7"/>
        <v>never smoker</v>
      </c>
    </row>
    <row r="27" spans="2:37" x14ac:dyDescent="0.4">
      <c r="B27" s="23" t="s">
        <v>796</v>
      </c>
      <c r="C27" s="24">
        <f>MATCH($B27, Backup_v02!$L:$L, 0)</f>
        <v>22</v>
      </c>
      <c r="D27" s="25" t="str">
        <f t="shared" ca="1" si="0"/>
        <v>LC_C12_nor</v>
      </c>
      <c r="E27" s="26">
        <f ca="1">IF(ISERROR(SEARCH(E$6, $D27)), 0, 1)</f>
        <v>1</v>
      </c>
      <c r="L27" s="23" t="s">
        <v>152</v>
      </c>
      <c r="M27" s="23" t="s">
        <v>780</v>
      </c>
      <c r="N27" s="18"/>
      <c r="O27" s="6">
        <f>MATCH(L27, Backup_v02!$L:$L, 0)</f>
        <v>27</v>
      </c>
      <c r="P27" s="6">
        <f t="shared" ca="1" si="1"/>
        <v>54</v>
      </c>
      <c r="Q27" s="6" t="str">
        <f t="shared" ca="1" si="1"/>
        <v>female</v>
      </c>
      <c r="R27" s="6" t="str">
        <f t="shared" ca="1" si="1"/>
        <v>never smoker</v>
      </c>
      <c r="S27" s="6" t="str">
        <f t="shared" ca="1" si="1"/>
        <v>1A</v>
      </c>
      <c r="Y27" s="6">
        <f>MATCH(Z27, Backup_v02!$L:$L, 0)</f>
        <v>51</v>
      </c>
      <c r="Z27" s="6" t="s">
        <v>892</v>
      </c>
      <c r="AA27" s="6" t="s">
        <v>1569</v>
      </c>
      <c r="AB27" s="6" t="s">
        <v>892</v>
      </c>
      <c r="AC27" s="6" t="b">
        <f t="shared" si="3"/>
        <v>1</v>
      </c>
      <c r="AD27" s="6" t="str">
        <f t="shared" ca="1" si="4"/>
        <v>LC_C29_nor</v>
      </c>
      <c r="AE27" s="6" t="str">
        <f t="shared" ca="1" si="5"/>
        <v>never smoker</v>
      </c>
      <c r="AF27" s="19" t="str">
        <f t="shared" ca="1" si="8"/>
        <v>never smoker</v>
      </c>
      <c r="AI27" s="6" t="s">
        <v>1593</v>
      </c>
      <c r="AJ27" s="6" t="str">
        <f t="shared" si="6"/>
        <v>LC_C11</v>
      </c>
      <c r="AK27" s="6" t="str">
        <f t="shared" ca="1" si="7"/>
        <v>never smoker</v>
      </c>
    </row>
    <row r="28" spans="2:37" x14ac:dyDescent="0.4">
      <c r="B28" s="23" t="s">
        <v>128</v>
      </c>
      <c r="C28" s="24">
        <f>MATCH($B28, Backup_v02!$L:$L, 0)</f>
        <v>23</v>
      </c>
      <c r="D28" s="25" t="str">
        <f t="shared" ca="1" si="0"/>
        <v>LC_C13</v>
      </c>
      <c r="E28" s="26">
        <f ca="1">IF(ISERROR(SEARCH(E$6, $D28)), 0, 1)</f>
        <v>0</v>
      </c>
      <c r="L28" s="23" t="s">
        <v>144</v>
      </c>
      <c r="M28" s="23" t="s">
        <v>772</v>
      </c>
      <c r="N28" s="18"/>
      <c r="O28" s="6">
        <f>MATCH(L28, Backup_v02!$L:$L, 0)</f>
        <v>26</v>
      </c>
      <c r="P28" s="6">
        <f t="shared" ca="1" si="1"/>
        <v>60</v>
      </c>
      <c r="Q28" s="6" t="str">
        <f t="shared" ca="1" si="1"/>
        <v>male</v>
      </c>
      <c r="R28" s="6" t="str">
        <f t="shared" ca="1" si="1"/>
        <v>current smoker</v>
      </c>
      <c r="S28" s="6" t="str">
        <f t="shared" ca="1" si="1"/>
        <v>1B</v>
      </c>
      <c r="Y28" s="6">
        <f>MATCH(Z28, Backup_v02!$L:$L, 0)</f>
        <v>53</v>
      </c>
      <c r="Z28" s="6" t="s">
        <v>900</v>
      </c>
      <c r="AA28" s="6" t="s">
        <v>1569</v>
      </c>
      <c r="AB28" s="6" t="s">
        <v>900</v>
      </c>
      <c r="AC28" s="6" t="b">
        <f t="shared" si="3"/>
        <v>1</v>
      </c>
      <c r="AD28" s="6" t="str">
        <f t="shared" ca="1" si="4"/>
        <v>LC_C30_nor</v>
      </c>
      <c r="AE28" s="6" t="str">
        <f t="shared" ca="1" si="5"/>
        <v>never smoker</v>
      </c>
      <c r="AF28" s="19" t="str">
        <f t="shared" ca="1" si="8"/>
        <v>never smoker</v>
      </c>
      <c r="AI28" s="6" t="s">
        <v>1594</v>
      </c>
      <c r="AJ28" s="6" t="str">
        <f t="shared" si="6"/>
        <v>LC_C12</v>
      </c>
      <c r="AK28" s="6" t="str">
        <f t="shared" ca="1" si="7"/>
        <v>NA</v>
      </c>
    </row>
    <row r="29" spans="2:37" x14ac:dyDescent="0.4">
      <c r="B29" s="23" t="s">
        <v>136</v>
      </c>
      <c r="C29" s="24">
        <f>MATCH($B29, Backup_v02!$L:$L, 0)</f>
        <v>24</v>
      </c>
      <c r="D29" s="25" t="str">
        <f t="shared" ca="1" si="0"/>
        <v>LC_C14</v>
      </c>
      <c r="E29" s="26">
        <f ca="1">IF(ISERROR(SEARCH(E$6, $D29)), 0, 1)</f>
        <v>0</v>
      </c>
      <c r="L29" s="23" t="s">
        <v>136</v>
      </c>
      <c r="M29" s="23" t="s">
        <v>764</v>
      </c>
      <c r="N29" s="18"/>
      <c r="O29" s="6">
        <f>MATCH(L29, Backup_v02!$L:$L, 0)</f>
        <v>24</v>
      </c>
      <c r="P29" s="6">
        <f t="shared" ca="1" si="1"/>
        <v>50</v>
      </c>
      <c r="Q29" s="6" t="str">
        <f t="shared" ca="1" si="1"/>
        <v>female</v>
      </c>
      <c r="R29" s="6" t="str">
        <f t="shared" ca="1" si="1"/>
        <v>current smoker</v>
      </c>
      <c r="S29" s="6" t="str">
        <f t="shared" ca="1" si="1"/>
        <v>3A</v>
      </c>
      <c r="Y29" s="6">
        <f>MATCH(Z29, Backup_v02!$L:$L, 0)</f>
        <v>55</v>
      </c>
      <c r="Z29" s="6" t="s">
        <v>908</v>
      </c>
      <c r="AA29" s="6" t="s">
        <v>1569</v>
      </c>
      <c r="AB29" s="6" t="s">
        <v>908</v>
      </c>
      <c r="AC29" s="6" t="b">
        <f t="shared" si="3"/>
        <v>1</v>
      </c>
      <c r="AD29" s="6" t="str">
        <f t="shared" ca="1" si="4"/>
        <v>LC_C31_nor</v>
      </c>
      <c r="AE29" s="6" t="str">
        <f t="shared" ca="1" si="5"/>
        <v>never smoker</v>
      </c>
      <c r="AF29" s="19" t="str">
        <f t="shared" ca="1" si="8"/>
        <v>never smoker</v>
      </c>
      <c r="AI29" s="20" t="s">
        <v>1606</v>
      </c>
      <c r="AJ29" s="20" t="str">
        <f t="shared" si="6"/>
        <v>LC_C33</v>
      </c>
      <c r="AK29" s="20" t="str">
        <f t="shared" ca="1" si="7"/>
        <v>NA</v>
      </c>
    </row>
    <row r="30" spans="2:37" x14ac:dyDescent="0.4">
      <c r="B30" s="23" t="s">
        <v>804</v>
      </c>
      <c r="C30" s="24">
        <f>MATCH($B30, Backup_v02!$L:$L, 0)</f>
        <v>25</v>
      </c>
      <c r="D30" s="25" t="str">
        <f t="shared" ca="1" si="0"/>
        <v>LC_C14_nor</v>
      </c>
      <c r="E30" s="26">
        <f ca="1">IF(ISERROR(SEARCH(E$6, $D30)), 0, 1)</f>
        <v>1</v>
      </c>
      <c r="L30" s="23" t="s">
        <v>128</v>
      </c>
      <c r="M30" s="23" t="s">
        <v>756</v>
      </c>
      <c r="N30" s="18"/>
      <c r="O30" s="6">
        <f>MATCH(L30, Backup_v02!$L:$L, 0)</f>
        <v>23</v>
      </c>
      <c r="P30" s="6">
        <f t="shared" ca="1" si="1"/>
        <v>72</v>
      </c>
      <c r="Q30" s="6" t="str">
        <f t="shared" ca="1" si="1"/>
        <v>male</v>
      </c>
      <c r="R30" s="6" t="str">
        <f t="shared" ca="1" si="1"/>
        <v>current smoker</v>
      </c>
      <c r="S30" s="6" t="str">
        <f t="shared" ca="1" si="1"/>
        <v>2B</v>
      </c>
      <c r="Y30" s="6">
        <f>MATCH(Z30, Backup_v02!$L:$L, 0)</f>
        <v>58</v>
      </c>
      <c r="Z30" s="6" t="s">
        <v>916</v>
      </c>
      <c r="AA30" s="6" t="s">
        <v>1569</v>
      </c>
      <c r="AB30" s="6" t="s">
        <v>916</v>
      </c>
      <c r="AC30" s="6" t="b">
        <f t="shared" si="3"/>
        <v>1</v>
      </c>
      <c r="AD30" s="6" t="str">
        <f t="shared" ca="1" si="4"/>
        <v>LC_C33_nor</v>
      </c>
      <c r="AE30" s="6" t="str">
        <f t="shared" ca="1" si="5"/>
        <v>NA</v>
      </c>
      <c r="AF30" s="19" t="str">
        <f t="shared" ca="1" si="8"/>
        <v>NA</v>
      </c>
      <c r="AI30" s="20" t="s">
        <v>1599</v>
      </c>
      <c r="AJ30" s="20" t="str">
        <f t="shared" si="6"/>
        <v>LC_C19</v>
      </c>
      <c r="AK30" s="20" t="str">
        <f t="shared" ca="1" si="7"/>
        <v>never smoker</v>
      </c>
    </row>
    <row r="31" spans="2:37" x14ac:dyDescent="0.4">
      <c r="B31" s="23" t="s">
        <v>144</v>
      </c>
      <c r="C31" s="24">
        <f>MATCH($B31, Backup_v02!$L:$L, 0)</f>
        <v>26</v>
      </c>
      <c r="D31" s="25" t="str">
        <f t="shared" ca="1" si="0"/>
        <v>LC_C15</v>
      </c>
      <c r="E31" s="26">
        <f ca="1">IF(ISERROR(SEARCH(E$6, $D31)), 0, 1)</f>
        <v>0</v>
      </c>
      <c r="L31" s="23" t="s">
        <v>120</v>
      </c>
      <c r="M31" s="23" t="s">
        <v>748</v>
      </c>
      <c r="N31" s="18"/>
      <c r="O31" s="6">
        <f>MATCH(L31, Backup_v02!$L:$L, 0)</f>
        <v>21</v>
      </c>
      <c r="P31" s="6">
        <f t="shared" ca="1" si="1"/>
        <v>66</v>
      </c>
      <c r="Q31" s="6" t="str">
        <f t="shared" ca="1" si="1"/>
        <v>male</v>
      </c>
      <c r="R31" s="6" t="str">
        <f t="shared" ca="1" si="1"/>
        <v>NA</v>
      </c>
      <c r="S31" s="6" t="str">
        <f t="shared" ca="1" si="1"/>
        <v>1B</v>
      </c>
      <c r="Y31" s="6">
        <f>MATCH(Z31, Backup_v02!$L:$L, 0)</f>
        <v>60</v>
      </c>
      <c r="Z31" s="6" t="s">
        <v>924</v>
      </c>
      <c r="AA31" s="6" t="s">
        <v>1569</v>
      </c>
      <c r="AB31" s="6" t="s">
        <v>924</v>
      </c>
      <c r="AC31" s="6" t="b">
        <f t="shared" si="3"/>
        <v>1</v>
      </c>
      <c r="AD31" s="6" t="str">
        <f t="shared" ca="1" si="4"/>
        <v>LC_C34_nor</v>
      </c>
      <c r="AE31" s="6" t="str">
        <f t="shared" ca="1" si="5"/>
        <v>smoker</v>
      </c>
      <c r="AF31" s="19" t="str">
        <f t="shared" ca="1" si="8"/>
        <v>smoker</v>
      </c>
      <c r="AI31" s="20" t="s">
        <v>1603</v>
      </c>
      <c r="AJ31" s="20" t="str">
        <f t="shared" si="6"/>
        <v>LC_C28</v>
      </c>
      <c r="AK31" s="20" t="str">
        <f t="shared" ca="1" si="7"/>
        <v>never smoker</v>
      </c>
    </row>
    <row r="32" spans="2:37" x14ac:dyDescent="0.4">
      <c r="B32" s="23" t="s">
        <v>152</v>
      </c>
      <c r="C32" s="24">
        <f>MATCH($B32, Backup_v02!$L:$L, 0)</f>
        <v>27</v>
      </c>
      <c r="D32" s="25" t="str">
        <f t="shared" ca="1" si="0"/>
        <v>LC_C16</v>
      </c>
      <c r="E32" s="26">
        <f ca="1">IF(ISERROR(SEARCH(E$6, $D32)), 0, 1)</f>
        <v>0</v>
      </c>
      <c r="L32" s="23" t="s">
        <v>112</v>
      </c>
      <c r="M32" s="23" t="s">
        <v>740</v>
      </c>
      <c r="N32" s="18"/>
      <c r="O32" s="6">
        <f>MATCH(L32, Backup_v02!$L:$L, 0)</f>
        <v>19</v>
      </c>
      <c r="P32" s="6">
        <f t="shared" ca="1" si="1"/>
        <v>63</v>
      </c>
      <c r="Q32" s="6" t="str">
        <f t="shared" ca="1" si="1"/>
        <v>female</v>
      </c>
      <c r="R32" s="6" t="str">
        <f t="shared" ca="1" si="1"/>
        <v>never smoker</v>
      </c>
      <c r="S32" s="6" t="str">
        <f t="shared" ca="1" si="1"/>
        <v>1A</v>
      </c>
      <c r="Y32" s="6">
        <f>MATCH(Z32, Backup_v02!$L:$L, 0)</f>
        <v>62</v>
      </c>
      <c r="Z32" s="6" t="s">
        <v>932</v>
      </c>
      <c r="AA32" s="6" t="s">
        <v>1569</v>
      </c>
      <c r="AB32" s="6" t="s">
        <v>932</v>
      </c>
      <c r="AC32" s="6" t="b">
        <f t="shared" si="3"/>
        <v>1</v>
      </c>
      <c r="AD32" s="6" t="str">
        <f t="shared" ca="1" si="4"/>
        <v>LC_C35_nor</v>
      </c>
      <c r="AE32" s="6" t="str">
        <f t="shared" ca="1" si="5"/>
        <v>current smoker</v>
      </c>
      <c r="AF32" s="19" t="str">
        <f t="shared" ca="1" si="8"/>
        <v>smoker</v>
      </c>
      <c r="AI32" s="6" t="s">
        <v>1598</v>
      </c>
      <c r="AJ32" s="20" t="str">
        <f t="shared" si="6"/>
        <v>LC_C6</v>
      </c>
      <c r="AK32" s="20" t="str">
        <f t="shared" ca="1" si="7"/>
        <v>smoker</v>
      </c>
    </row>
    <row r="33" spans="2:37" x14ac:dyDescent="0.4">
      <c r="B33" s="23" t="s">
        <v>812</v>
      </c>
      <c r="C33" s="24">
        <f>MATCH($B33, Backup_v02!$L:$L, 0)</f>
        <v>28</v>
      </c>
      <c r="D33" s="25" t="str">
        <f t="shared" ca="1" si="0"/>
        <v>LC_C16_nor</v>
      </c>
      <c r="E33" s="26">
        <f ca="1">IF(ISERROR(SEARCH(E$6, $D33)), 0, 1)</f>
        <v>1</v>
      </c>
      <c r="L33" s="23" t="s">
        <v>104</v>
      </c>
      <c r="M33" s="23" t="s">
        <v>732</v>
      </c>
      <c r="N33" s="18"/>
      <c r="O33" s="6">
        <f>MATCH(L33, Backup_v02!$L:$L, 0)</f>
        <v>17</v>
      </c>
      <c r="P33" s="6">
        <f t="shared" ca="1" si="1"/>
        <v>58</v>
      </c>
      <c r="Q33" s="6" t="str">
        <f t="shared" ca="1" si="1"/>
        <v>female</v>
      </c>
      <c r="R33" s="6" t="str">
        <f t="shared" ca="1" si="1"/>
        <v>never smoker</v>
      </c>
      <c r="S33" s="6" t="str">
        <f t="shared" ca="1" si="1"/>
        <v>2A</v>
      </c>
      <c r="Y33" s="6">
        <f>MATCH(Z33, Backup_v02!$L:$L, 0)</f>
        <v>64</v>
      </c>
      <c r="Z33" s="6" t="s">
        <v>940</v>
      </c>
      <c r="AA33" s="6" t="s">
        <v>1569</v>
      </c>
      <c r="AB33" s="6" t="s">
        <v>940</v>
      </c>
      <c r="AC33" s="6" t="b">
        <f t="shared" si="3"/>
        <v>1</v>
      </c>
      <c r="AD33" s="6" t="str">
        <f t="shared" ca="1" si="4"/>
        <v>LC_C36_nor</v>
      </c>
      <c r="AE33" s="6" t="str">
        <f t="shared" ca="1" si="5"/>
        <v>never smoker</v>
      </c>
      <c r="AF33" s="19" t="str">
        <f t="shared" ca="1" si="8"/>
        <v>never smoker</v>
      </c>
      <c r="AI33" s="6" t="s">
        <v>1601</v>
      </c>
      <c r="AJ33" s="6" t="str">
        <f t="shared" si="6"/>
        <v>LC_C23</v>
      </c>
      <c r="AK33" s="6" t="str">
        <f t="shared" ca="1" si="7"/>
        <v>NA</v>
      </c>
    </row>
    <row r="34" spans="2:37" x14ac:dyDescent="0.4">
      <c r="B34" s="23" t="s">
        <v>160</v>
      </c>
      <c r="C34" s="24">
        <f>MATCH($B34, Backup_v02!$L:$L, 0)</f>
        <v>29</v>
      </c>
      <c r="D34" s="25" t="str">
        <f t="shared" ca="1" si="0"/>
        <v>LC_C17</v>
      </c>
      <c r="E34" s="26">
        <f ca="1">IF(ISERROR(SEARCH(E$6, $D34)), 0, 1)</f>
        <v>0</v>
      </c>
      <c r="L34" s="23" t="s">
        <v>95</v>
      </c>
      <c r="M34" s="36"/>
      <c r="N34" s="36"/>
      <c r="O34" s="6">
        <f>MATCH(L34, Backup_v02!$L:$L, 0)</f>
        <v>15</v>
      </c>
      <c r="P34" s="6">
        <f t="shared" ca="1" si="1"/>
        <v>71</v>
      </c>
      <c r="Q34" s="6" t="str">
        <f t="shared" ca="1" si="1"/>
        <v>male</v>
      </c>
      <c r="R34" s="6" t="str">
        <f t="shared" ca="1" si="1"/>
        <v>smoker</v>
      </c>
      <c r="S34" s="6" t="str">
        <f t="shared" ca="1" si="1"/>
        <v>1B</v>
      </c>
      <c r="Y34" s="6">
        <f>MATCH(Z34, Backup_v02!$L:$L, 0)</f>
        <v>2</v>
      </c>
      <c r="Z34" s="6" t="s">
        <v>23</v>
      </c>
      <c r="AA34" s="6" t="s">
        <v>1568</v>
      </c>
      <c r="AD34" s="6" t="str">
        <f t="shared" ca="1" si="4"/>
        <v>LC_C1</v>
      </c>
      <c r="AE34" s="6" t="str">
        <f t="shared" ca="1" si="5"/>
        <v>smoker</v>
      </c>
      <c r="AF34" s="19" t="str">
        <f t="shared" ca="1" si="8"/>
        <v>smoker</v>
      </c>
      <c r="AI34" s="20" t="s">
        <v>1605</v>
      </c>
      <c r="AJ34" s="20" t="str">
        <f t="shared" si="6"/>
        <v>LC_C32</v>
      </c>
      <c r="AK34" s="20" t="str">
        <f t="shared" ca="1" si="7"/>
        <v>smoker</v>
      </c>
    </row>
    <row r="35" spans="2:37" x14ac:dyDescent="0.4">
      <c r="B35" s="23" t="s">
        <v>820</v>
      </c>
      <c r="C35" s="24">
        <f>MATCH($B35, Backup_v02!$L:$L, 0)</f>
        <v>30</v>
      </c>
      <c r="D35" s="25" t="str">
        <f t="shared" ca="1" si="0"/>
        <v>LC_C17_nor</v>
      </c>
      <c r="E35" s="26">
        <f ca="1">IF(ISERROR(SEARCH(E$6, $D35)), 0, 1)</f>
        <v>1</v>
      </c>
      <c r="L35" s="23" t="s">
        <v>87</v>
      </c>
      <c r="M35" s="36"/>
      <c r="N35" s="36"/>
      <c r="O35" s="6">
        <f>MATCH(L35, Backup_v02!$L:$L, 0)</f>
        <v>14</v>
      </c>
      <c r="P35" s="6">
        <f t="shared" ca="1" si="1"/>
        <v>85</v>
      </c>
      <c r="Q35" s="6" t="str">
        <f t="shared" ca="1" si="1"/>
        <v>male</v>
      </c>
      <c r="R35" s="6" t="str">
        <f t="shared" ca="1" si="1"/>
        <v>smoker</v>
      </c>
      <c r="S35" s="6" t="str">
        <f t="shared" ca="1" si="1"/>
        <v>1B</v>
      </c>
      <c r="Y35" s="6">
        <f>MATCH(Z35, Backup_v02!$L:$L, 0)</f>
        <v>4</v>
      </c>
      <c r="Z35" s="6" t="s">
        <v>33</v>
      </c>
      <c r="AA35" s="6" t="s">
        <v>1568</v>
      </c>
      <c r="AD35" s="6" t="str">
        <f t="shared" ca="1" si="4"/>
        <v>LC_C2</v>
      </c>
      <c r="AE35" s="6" t="str">
        <f t="shared" ca="1" si="5"/>
        <v>current smoker</v>
      </c>
      <c r="AF35" s="19" t="str">
        <f t="shared" ca="1" si="8"/>
        <v>smoker</v>
      </c>
      <c r="AI35" s="20" t="s">
        <v>1607</v>
      </c>
      <c r="AJ35" s="20" t="str">
        <f t="shared" si="6"/>
        <v>LC_C35</v>
      </c>
      <c r="AK35" s="20" t="str">
        <f t="shared" ca="1" si="7"/>
        <v>smoker</v>
      </c>
    </row>
    <row r="36" spans="2:37" x14ac:dyDescent="0.4">
      <c r="B36" s="23" t="s">
        <v>168</v>
      </c>
      <c r="C36" s="24">
        <f>MATCH($B36, Backup_v02!$L:$L, 0)</f>
        <v>31</v>
      </c>
      <c r="D36" s="25" t="str">
        <f t="shared" ca="1" si="0"/>
        <v>LC_C18</v>
      </c>
      <c r="E36" s="26">
        <f ca="1">IF(ISERROR(SEARCH(E$6, $D36)), 0, 1)</f>
        <v>0</v>
      </c>
      <c r="L36" s="23" t="s">
        <v>78</v>
      </c>
      <c r="M36" s="36"/>
      <c r="N36" s="36"/>
      <c r="O36" s="6">
        <f>MATCH(L36, Backup_v02!$L:$L, 0)</f>
        <v>12</v>
      </c>
      <c r="P36" s="6">
        <f t="shared" ca="1" si="1"/>
        <v>81</v>
      </c>
      <c r="Q36" s="6" t="str">
        <f t="shared" ca="1" si="1"/>
        <v>male</v>
      </c>
      <c r="R36" s="6" t="str">
        <f t="shared" ca="1" si="1"/>
        <v>smoker</v>
      </c>
      <c r="S36" s="6" t="str">
        <f t="shared" ca="1" si="1"/>
        <v>1A</v>
      </c>
      <c r="Y36" s="6">
        <f>MATCH(Z36, Backup_v02!$L:$L, 0)</f>
        <v>6</v>
      </c>
      <c r="Z36" s="6" t="s">
        <v>43</v>
      </c>
      <c r="AA36" s="6" t="s">
        <v>1568</v>
      </c>
      <c r="AD36" s="6" t="str">
        <f t="shared" ca="1" si="4"/>
        <v>LC_C3</v>
      </c>
      <c r="AE36" s="6" t="str">
        <f t="shared" ca="1" si="5"/>
        <v>never smoker</v>
      </c>
      <c r="AF36" s="19" t="str">
        <f t="shared" ca="1" si="8"/>
        <v>never smoker</v>
      </c>
      <c r="AI36" s="20" t="s">
        <v>1595</v>
      </c>
      <c r="AJ36" s="20" t="str">
        <f t="shared" si="6"/>
        <v>LC_C1</v>
      </c>
      <c r="AK36" s="20" t="str">
        <f t="shared" ca="1" si="7"/>
        <v>smoker</v>
      </c>
    </row>
    <row r="37" spans="2:37" x14ac:dyDescent="0.4">
      <c r="B37" s="23" t="s">
        <v>828</v>
      </c>
      <c r="C37" s="24">
        <f>MATCH($B37, Backup_v02!$L:$L, 0)</f>
        <v>32</v>
      </c>
      <c r="D37" s="25" t="str">
        <f t="shared" ca="1" si="0"/>
        <v>LC_C18_nor</v>
      </c>
      <c r="E37" s="26">
        <f ca="1">IF(ISERROR(SEARCH(E$6, $D37)), 0, 1)</f>
        <v>1</v>
      </c>
      <c r="L37" s="23" t="s">
        <v>70</v>
      </c>
      <c r="M37" s="36"/>
      <c r="N37" s="36"/>
      <c r="O37" s="6">
        <f>MATCH(L37, Backup_v02!$L:$L, 0)</f>
        <v>11</v>
      </c>
      <c r="P37" s="6">
        <f t="shared" ca="1" si="1"/>
        <v>38</v>
      </c>
      <c r="Q37" s="6" t="str">
        <f t="shared" ca="1" si="1"/>
        <v>male</v>
      </c>
      <c r="R37" s="6" t="str">
        <f t="shared" ca="1" si="1"/>
        <v>current smoker</v>
      </c>
      <c r="S37" s="6" t="str">
        <f t="shared" ca="1" si="1"/>
        <v>2B</v>
      </c>
      <c r="Y37" s="6">
        <f>MATCH(Z37, Backup_v02!$L:$L, 0)</f>
        <v>8</v>
      </c>
      <c r="Z37" s="6" t="s">
        <v>52</v>
      </c>
      <c r="AA37" s="6" t="s">
        <v>1568</v>
      </c>
      <c r="AD37" s="6" t="str">
        <f t="shared" ca="1" si="4"/>
        <v>LC_C4</v>
      </c>
      <c r="AE37" s="6" t="str">
        <f t="shared" ca="1" si="5"/>
        <v>never smoker</v>
      </c>
      <c r="AF37" s="19" t="str">
        <f t="shared" ca="1" si="8"/>
        <v>never smoker</v>
      </c>
      <c r="AI37" s="20" t="s">
        <v>1600</v>
      </c>
      <c r="AJ37" s="20" t="str">
        <f t="shared" si="6"/>
        <v>LC_C20</v>
      </c>
      <c r="AK37" s="20" t="str">
        <f t="shared" ca="1" si="7"/>
        <v>smoker</v>
      </c>
    </row>
    <row r="38" spans="2:37" x14ac:dyDescent="0.4">
      <c r="B38" s="23" t="s">
        <v>176</v>
      </c>
      <c r="C38" s="24">
        <f>MATCH($B38, Backup_v02!$L:$L, 0)</f>
        <v>33</v>
      </c>
      <c r="D38" s="25" t="str">
        <f t="shared" ca="1" si="0"/>
        <v>LC_C19</v>
      </c>
      <c r="E38" s="26">
        <f ca="1">IF(ISERROR(SEARCH(E$6, $D38)), 0, 1)</f>
        <v>0</v>
      </c>
      <c r="L38" s="23" t="s">
        <v>62</v>
      </c>
      <c r="M38" s="36"/>
      <c r="N38" s="36"/>
      <c r="O38" s="6">
        <f>MATCH(L38, Backup_v02!$L:$L, 0)</f>
        <v>9</v>
      </c>
      <c r="P38" s="6">
        <f t="shared" ca="1" si="1"/>
        <v>68</v>
      </c>
      <c r="Q38" s="6" t="str">
        <f t="shared" ca="1" si="1"/>
        <v>male</v>
      </c>
      <c r="R38" s="6" t="str">
        <f t="shared" ca="1" si="1"/>
        <v>NA</v>
      </c>
      <c r="S38" s="6" t="str">
        <f t="shared" ca="1" si="1"/>
        <v>3A</v>
      </c>
      <c r="Y38" s="6">
        <f>MATCH(Z38, Backup_v02!$L:$L, 0)</f>
        <v>9</v>
      </c>
      <c r="Z38" s="6" t="s">
        <v>62</v>
      </c>
      <c r="AA38" s="6" t="s">
        <v>1568</v>
      </c>
      <c r="AD38" s="6" t="str">
        <f t="shared" ca="1" si="4"/>
        <v>LC_C5</v>
      </c>
      <c r="AE38" s="6" t="str">
        <f t="shared" ca="1" si="5"/>
        <v>NA</v>
      </c>
      <c r="AF38" s="19" t="str">
        <f t="shared" ca="1" si="8"/>
        <v>NA</v>
      </c>
      <c r="AI38" s="6" t="s">
        <v>1602</v>
      </c>
      <c r="AJ38" s="6" t="str">
        <f t="shared" si="6"/>
        <v>LC_C27</v>
      </c>
      <c r="AK38" s="6" t="str">
        <f t="shared" ca="1" si="7"/>
        <v>never smoker</v>
      </c>
    </row>
    <row r="39" spans="2:37" x14ac:dyDescent="0.4">
      <c r="B39" s="23" t="s">
        <v>836</v>
      </c>
      <c r="C39" s="24">
        <f>MATCH($B39, Backup_v02!$L:$L, 0)</f>
        <v>34</v>
      </c>
      <c r="D39" s="25" t="str">
        <f t="shared" ref="D39:D69" ca="1" si="11">INDIRECT($B$2&amp;"!"&amp;ADDRESS($C39, C$2))</f>
        <v>LC_C19_nor</v>
      </c>
      <c r="E39" s="26">
        <f ca="1">IF(ISERROR(SEARCH(E$6, $D39)), 0, 1)</f>
        <v>1</v>
      </c>
      <c r="L39" s="23" t="s">
        <v>52</v>
      </c>
      <c r="M39" s="36"/>
      <c r="N39" s="36"/>
      <c r="O39" s="6">
        <f>MATCH(L39, Backup_v02!$L:$L, 0)</f>
        <v>8</v>
      </c>
      <c r="P39" s="6">
        <f t="shared" ca="1" si="1"/>
        <v>52</v>
      </c>
      <c r="Q39" s="6" t="str">
        <f t="shared" ca="1" si="1"/>
        <v>male</v>
      </c>
      <c r="R39" s="6" t="str">
        <f t="shared" ca="1" si="1"/>
        <v>never smoker</v>
      </c>
      <c r="S39" s="6" t="str">
        <f t="shared" ca="1" si="1"/>
        <v>3B</v>
      </c>
      <c r="Y39" s="6">
        <f>MATCH(Z39, Backup_v02!$L:$L, 0)</f>
        <v>11</v>
      </c>
      <c r="Z39" s="6" t="s">
        <v>70</v>
      </c>
      <c r="AA39" s="6" t="s">
        <v>1568</v>
      </c>
      <c r="AD39" s="6" t="str">
        <f t="shared" ca="1" si="4"/>
        <v>LC_C6</v>
      </c>
      <c r="AE39" s="6" t="str">
        <f t="shared" ca="1" si="5"/>
        <v>current smoker</v>
      </c>
      <c r="AF39" s="19" t="str">
        <f t="shared" ca="1" si="8"/>
        <v>smoker</v>
      </c>
      <c r="AI39" s="6" t="s">
        <v>1596</v>
      </c>
      <c r="AJ39" s="6" t="str">
        <f t="shared" si="6"/>
        <v>LC_C2</v>
      </c>
      <c r="AK39" s="6" t="str">
        <f t="shared" ca="1" si="7"/>
        <v>smoker</v>
      </c>
    </row>
    <row r="40" spans="2:37" x14ac:dyDescent="0.4">
      <c r="B40" s="23" t="s">
        <v>184</v>
      </c>
      <c r="C40" s="24">
        <f>MATCH($B40, Backup_v02!$L:$L, 0)</f>
        <v>35</v>
      </c>
      <c r="D40" s="25" t="str">
        <f t="shared" ca="1" si="11"/>
        <v>LC_C20</v>
      </c>
      <c r="E40" s="26">
        <f ca="1">IF(ISERROR(SEARCH(E$6, $D40)), 0, 1)</f>
        <v>0</v>
      </c>
      <c r="L40" s="23" t="s">
        <v>43</v>
      </c>
      <c r="M40" s="36"/>
      <c r="N40" s="36"/>
      <c r="O40" s="6">
        <f>MATCH(L40, Backup_v02!$L:$L, 0)</f>
        <v>6</v>
      </c>
      <c r="P40" s="6">
        <f t="shared" ca="1" si="1"/>
        <v>65</v>
      </c>
      <c r="Q40" s="6" t="str">
        <f t="shared" ca="1" si="1"/>
        <v>female</v>
      </c>
      <c r="R40" s="6" t="str">
        <f t="shared" ca="1" si="1"/>
        <v>never smoker</v>
      </c>
      <c r="S40" s="6" t="str">
        <f t="shared" ca="1" si="1"/>
        <v>1A</v>
      </c>
      <c r="Y40" s="6">
        <f>MATCH(Z40, Backup_v02!$L:$L, 0)</f>
        <v>12</v>
      </c>
      <c r="Z40" s="6" t="s">
        <v>78</v>
      </c>
      <c r="AA40" s="6" t="s">
        <v>1568</v>
      </c>
      <c r="AB40" s="6" t="s">
        <v>78</v>
      </c>
      <c r="AC40" s="6" t="b">
        <f>AB40=Z40</f>
        <v>1</v>
      </c>
      <c r="AD40" s="6" t="str">
        <f t="shared" ca="1" si="4"/>
        <v>LC_C7</v>
      </c>
      <c r="AE40" s="6" t="str">
        <f t="shared" ca="1" si="5"/>
        <v>smoker</v>
      </c>
      <c r="AF40" s="19" t="str">
        <f t="shared" ca="1" si="8"/>
        <v>smoker</v>
      </c>
      <c r="AI40" s="6" t="s">
        <v>1604</v>
      </c>
      <c r="AJ40" s="6" t="str">
        <f t="shared" si="6"/>
        <v>LC_C31</v>
      </c>
      <c r="AK40" s="6" t="str">
        <f t="shared" ca="1" si="7"/>
        <v>never smoker</v>
      </c>
    </row>
    <row r="41" spans="2:37" x14ac:dyDescent="0.4">
      <c r="B41" s="23" t="s">
        <v>844</v>
      </c>
      <c r="C41" s="24">
        <f>MATCH($B41, Backup_v02!$L:$L, 0)</f>
        <v>36</v>
      </c>
      <c r="D41" s="25" t="str">
        <f t="shared" ca="1" si="11"/>
        <v>LC_C20_nor</v>
      </c>
      <c r="E41" s="26">
        <f ca="1">IF(ISERROR(SEARCH(E$6, $D41)), 0, 1)</f>
        <v>1</v>
      </c>
      <c r="L41" s="23" t="s">
        <v>33</v>
      </c>
      <c r="M41" s="36"/>
      <c r="N41" s="36"/>
      <c r="O41" s="6">
        <f>MATCH(L41, Backup_v02!$L:$L, 0)</f>
        <v>4</v>
      </c>
      <c r="P41" s="6">
        <f t="shared" ca="1" si="1"/>
        <v>51</v>
      </c>
      <c r="Q41" s="6" t="str">
        <f t="shared" ca="1" si="1"/>
        <v>male</v>
      </c>
      <c r="R41" s="6" t="str">
        <f t="shared" ca="1" si="1"/>
        <v>current smoker</v>
      </c>
      <c r="S41" s="6" t="str">
        <f t="shared" ca="1" si="1"/>
        <v>2B</v>
      </c>
      <c r="Y41" s="6">
        <f>MATCH(Z41, Backup_v02!$L:$L, 0)</f>
        <v>14</v>
      </c>
      <c r="Z41" s="6" t="s">
        <v>87</v>
      </c>
      <c r="AA41" s="6" t="s">
        <v>1568</v>
      </c>
      <c r="AB41" s="6" t="s">
        <v>87</v>
      </c>
      <c r="AC41" s="6" t="b">
        <f t="shared" ref="AC41:AC69" si="12">AB41=Z41</f>
        <v>1</v>
      </c>
      <c r="AD41" s="6" t="str">
        <f t="shared" ca="1" si="4"/>
        <v>LC_C8</v>
      </c>
      <c r="AE41" s="6" t="str">
        <f t="shared" ca="1" si="5"/>
        <v>smoker</v>
      </c>
      <c r="AF41" s="19" t="str">
        <f t="shared" ca="1" si="8"/>
        <v>smoker</v>
      </c>
      <c r="AI41" s="6" t="s">
        <v>1597</v>
      </c>
      <c r="AJ41" s="6" t="str">
        <f t="shared" si="6"/>
        <v>LC_C5</v>
      </c>
      <c r="AK41" s="6" t="str">
        <f t="shared" ca="1" si="7"/>
        <v>NA</v>
      </c>
    </row>
    <row r="42" spans="2:37" x14ac:dyDescent="0.4">
      <c r="B42" s="23" t="s">
        <v>192</v>
      </c>
      <c r="C42" s="24">
        <f>MATCH($B42, Backup_v02!$L:$L, 0)</f>
        <v>37</v>
      </c>
      <c r="D42" s="25" t="str">
        <f t="shared" ca="1" si="11"/>
        <v>LC_C21</v>
      </c>
      <c r="E42" s="26">
        <f ca="1">IF(ISERROR(SEARCH(E$6, $D42)), 0, 1)</f>
        <v>0</v>
      </c>
      <c r="L42" s="27" t="s">
        <v>23</v>
      </c>
      <c r="M42" s="36"/>
      <c r="N42" s="36"/>
      <c r="O42" s="6">
        <f>MATCH(L42, Backup_v02!$L:$L, 0)</f>
        <v>2</v>
      </c>
      <c r="P42" s="6">
        <f t="shared" ca="1" si="1"/>
        <v>54</v>
      </c>
      <c r="Q42" s="6" t="str">
        <f t="shared" ca="1" si="1"/>
        <v>male</v>
      </c>
      <c r="R42" s="6" t="str">
        <f t="shared" ca="1" si="1"/>
        <v>smoker</v>
      </c>
      <c r="S42" s="6" t="str">
        <f t="shared" ca="1" si="1"/>
        <v>1A</v>
      </c>
      <c r="Y42" s="6">
        <f>MATCH(Z42, Backup_v02!$L:$L, 0)</f>
        <v>15</v>
      </c>
      <c r="Z42" s="6" t="s">
        <v>95</v>
      </c>
      <c r="AA42" s="6" t="s">
        <v>1568</v>
      </c>
      <c r="AB42" s="6" t="s">
        <v>95</v>
      </c>
      <c r="AC42" s="6" t="b">
        <f t="shared" si="12"/>
        <v>1</v>
      </c>
      <c r="AD42" s="6" t="str">
        <f t="shared" ca="1" si="4"/>
        <v>LC_C9</v>
      </c>
      <c r="AE42" s="6" t="str">
        <f t="shared" ca="1" si="5"/>
        <v>smoker</v>
      </c>
      <c r="AF42" s="19" t="str">
        <f t="shared" ca="1" si="8"/>
        <v>smoker</v>
      </c>
    </row>
    <row r="43" spans="2:37" x14ac:dyDescent="0.4">
      <c r="B43" s="23" t="s">
        <v>852</v>
      </c>
      <c r="C43" s="24">
        <f>MATCH($B43, Backup_v02!$L:$L, 0)</f>
        <v>38</v>
      </c>
      <c r="D43" s="25" t="str">
        <f t="shared" ca="1" si="11"/>
        <v>LC_C21_nor</v>
      </c>
      <c r="E43" s="26">
        <f ca="1">IF(ISERROR(SEARCH(E$6, $D43)), 0, 1)</f>
        <v>1</v>
      </c>
      <c r="Y43" s="6">
        <f>MATCH(Z43, Backup_v02!$L:$L, 0)</f>
        <v>17</v>
      </c>
      <c r="Z43" s="6" t="s">
        <v>104</v>
      </c>
      <c r="AA43" s="6" t="s">
        <v>1568</v>
      </c>
      <c r="AB43" s="6" t="s">
        <v>104</v>
      </c>
      <c r="AC43" s="6" t="b">
        <f t="shared" si="12"/>
        <v>1</v>
      </c>
      <c r="AD43" s="6" t="str">
        <f t="shared" ca="1" si="4"/>
        <v>LC_C10</v>
      </c>
      <c r="AE43" s="6" t="str">
        <f t="shared" ca="1" si="5"/>
        <v>never smoker</v>
      </c>
      <c r="AF43" s="19" t="str">
        <f t="shared" ca="1" si="8"/>
        <v>never smoker</v>
      </c>
    </row>
    <row r="44" spans="2:37" x14ac:dyDescent="0.4">
      <c r="B44" s="23" t="s">
        <v>200</v>
      </c>
      <c r="C44" s="24">
        <f>MATCH($B44, Backup_v02!$L:$L, 0)</f>
        <v>39</v>
      </c>
      <c r="D44" s="25" t="str">
        <f t="shared" ca="1" si="11"/>
        <v>LC_C22</v>
      </c>
      <c r="E44" s="26">
        <f ca="1">IF(ISERROR(SEARCH(E$6, $D44)), 0, 1)</f>
        <v>0</v>
      </c>
      <c r="Y44" s="6">
        <f>MATCH(Z44, Backup_v02!$L:$L, 0)</f>
        <v>19</v>
      </c>
      <c r="Z44" s="6" t="s">
        <v>112</v>
      </c>
      <c r="AA44" s="6" t="s">
        <v>1568</v>
      </c>
      <c r="AB44" s="6" t="s">
        <v>112</v>
      </c>
      <c r="AC44" s="6" t="b">
        <f t="shared" si="12"/>
        <v>1</v>
      </c>
      <c r="AD44" s="6" t="str">
        <f t="shared" ca="1" si="4"/>
        <v>LC_C11</v>
      </c>
      <c r="AE44" s="6" t="str">
        <f t="shared" ca="1" si="5"/>
        <v>never smoker</v>
      </c>
      <c r="AF44" s="19" t="str">
        <f t="shared" ca="1" si="8"/>
        <v>never smoker</v>
      </c>
    </row>
    <row r="45" spans="2:37" x14ac:dyDescent="0.4">
      <c r="B45" s="23" t="s">
        <v>860</v>
      </c>
      <c r="C45" s="24">
        <f>MATCH($B45, Backup_v02!$L:$L, 0)</f>
        <v>40</v>
      </c>
      <c r="D45" s="25" t="str">
        <f t="shared" ca="1" si="11"/>
        <v>LC_C22_nor</v>
      </c>
      <c r="E45" s="26">
        <f ca="1">IF(ISERROR(SEARCH(E$6, $D45)), 0, 1)</f>
        <v>1</v>
      </c>
      <c r="P45" s="6" t="s">
        <v>18</v>
      </c>
      <c r="Y45" s="6">
        <f>MATCH(Z45, Backup_v02!$L:$L, 0)</f>
        <v>21</v>
      </c>
      <c r="Z45" s="6" t="s">
        <v>120</v>
      </c>
      <c r="AA45" s="6" t="s">
        <v>1568</v>
      </c>
      <c r="AB45" s="6" t="s">
        <v>120</v>
      </c>
      <c r="AC45" s="6" t="b">
        <f t="shared" si="12"/>
        <v>1</v>
      </c>
      <c r="AD45" s="6" t="str">
        <f t="shared" ca="1" si="4"/>
        <v>LC_C12</v>
      </c>
      <c r="AE45" s="6" t="str">
        <f t="shared" ca="1" si="5"/>
        <v>NA</v>
      </c>
      <c r="AF45" s="19" t="str">
        <f t="shared" ca="1" si="8"/>
        <v>NA</v>
      </c>
    </row>
    <row r="46" spans="2:37" x14ac:dyDescent="0.4">
      <c r="B46" s="23" t="s">
        <v>208</v>
      </c>
      <c r="C46" s="24">
        <f>MATCH($B46, Backup_v02!$L:$L, 0)</f>
        <v>41</v>
      </c>
      <c r="D46" s="25" t="str">
        <f t="shared" ca="1" si="11"/>
        <v>LC_C23</v>
      </c>
      <c r="E46" s="26">
        <f ca="1">IF(ISERROR(SEARCH(E$6, $D46)), 0, 1)</f>
        <v>0</v>
      </c>
      <c r="P46" s="6" t="s">
        <v>83</v>
      </c>
      <c r="Y46" s="6">
        <f>MATCH(Z46, Backup_v02!$L:$L, 0)</f>
        <v>23</v>
      </c>
      <c r="Z46" s="6" t="s">
        <v>128</v>
      </c>
      <c r="AA46" s="6" t="s">
        <v>1568</v>
      </c>
      <c r="AB46" s="6" t="s">
        <v>128</v>
      </c>
      <c r="AC46" s="6" t="b">
        <f t="shared" si="12"/>
        <v>1</v>
      </c>
      <c r="AD46" s="6" t="str">
        <f t="shared" ca="1" si="4"/>
        <v>LC_C13</v>
      </c>
      <c r="AE46" s="6" t="str">
        <f t="shared" ca="1" si="5"/>
        <v>current smoker</v>
      </c>
      <c r="AF46" s="19" t="str">
        <f t="shared" ca="1" si="8"/>
        <v>smoker</v>
      </c>
    </row>
    <row r="47" spans="2:37" x14ac:dyDescent="0.4">
      <c r="B47" s="23" t="s">
        <v>216</v>
      </c>
      <c r="C47" s="24">
        <f>MATCH($B47, Backup_v02!$L:$L, 0)</f>
        <v>42</v>
      </c>
      <c r="D47" s="25" t="str">
        <f t="shared" ca="1" si="11"/>
        <v>LC_C24</v>
      </c>
      <c r="E47" s="26">
        <f ca="1">IF(ISERROR(SEARCH(E$6, $D47)), 0, 1)</f>
        <v>0</v>
      </c>
      <c r="P47" s="6" t="s">
        <v>100</v>
      </c>
      <c r="Y47" s="6">
        <f>MATCH(Z47, Backup_v02!$L:$L, 0)</f>
        <v>24</v>
      </c>
      <c r="Z47" s="6" t="s">
        <v>136</v>
      </c>
      <c r="AA47" s="6" t="s">
        <v>1568</v>
      </c>
      <c r="AB47" s="6" t="s">
        <v>136</v>
      </c>
      <c r="AC47" s="6" t="b">
        <f t="shared" si="12"/>
        <v>1</v>
      </c>
      <c r="AD47" s="6" t="str">
        <f t="shared" ca="1" si="4"/>
        <v>LC_C14</v>
      </c>
      <c r="AE47" s="6" t="str">
        <f t="shared" ca="1" si="5"/>
        <v>current smoker</v>
      </c>
      <c r="AF47" s="19" t="str">
        <f t="shared" ca="1" si="8"/>
        <v>smoker</v>
      </c>
    </row>
    <row r="48" spans="2:37" x14ac:dyDescent="0.4">
      <c r="B48" s="23" t="s">
        <v>868</v>
      </c>
      <c r="C48" s="24">
        <f>MATCH($B48, Backup_v02!$L:$L, 0)</f>
        <v>43</v>
      </c>
      <c r="D48" s="25" t="str">
        <f t="shared" ca="1" si="11"/>
        <v>LC_C24_nor</v>
      </c>
      <c r="E48" s="26">
        <f ca="1">IF(ISERROR(SEARCH(E$6, $D48)), 0, 1)</f>
        <v>1</v>
      </c>
      <c r="P48" s="6" t="s">
        <v>29</v>
      </c>
      <c r="Y48" s="6">
        <f>MATCH(Z48, Backup_v02!$L:$L, 0)</f>
        <v>26</v>
      </c>
      <c r="Z48" s="6" t="s">
        <v>144</v>
      </c>
      <c r="AA48" s="6" t="s">
        <v>1568</v>
      </c>
      <c r="AB48" s="6" t="s">
        <v>144</v>
      </c>
      <c r="AC48" s="6" t="b">
        <f t="shared" si="12"/>
        <v>1</v>
      </c>
      <c r="AD48" s="6" t="str">
        <f t="shared" ca="1" si="4"/>
        <v>LC_C15</v>
      </c>
      <c r="AE48" s="6" t="str">
        <f t="shared" ca="1" si="5"/>
        <v>current smoker</v>
      </c>
      <c r="AF48" s="19" t="str">
        <f t="shared" ca="1" si="8"/>
        <v>smoker</v>
      </c>
    </row>
    <row r="49" spans="2:32" x14ac:dyDescent="0.4">
      <c r="B49" s="23" t="s">
        <v>224</v>
      </c>
      <c r="C49" s="24">
        <f>MATCH($B49, Backup_v02!$L:$L, 0)</f>
        <v>44</v>
      </c>
      <c r="D49" s="25" t="str">
        <f t="shared" ca="1" si="11"/>
        <v>LC_C25</v>
      </c>
      <c r="E49" s="26">
        <f ca="1">IF(ISERROR(SEARCH(E$6, $D49)), 0, 1)</f>
        <v>0</v>
      </c>
      <c r="P49" s="6" t="s">
        <v>58</v>
      </c>
      <c r="Y49" s="6">
        <f>MATCH(Z49, Backup_v02!$L:$L, 0)</f>
        <v>27</v>
      </c>
      <c r="Z49" s="6" t="s">
        <v>152</v>
      </c>
      <c r="AA49" s="6" t="s">
        <v>1568</v>
      </c>
      <c r="AB49" s="6" t="s">
        <v>152</v>
      </c>
      <c r="AC49" s="6" t="b">
        <f t="shared" si="12"/>
        <v>1</v>
      </c>
      <c r="AD49" s="6" t="str">
        <f t="shared" ca="1" si="4"/>
        <v>LC_C16</v>
      </c>
      <c r="AE49" s="6" t="str">
        <f t="shared" ca="1" si="5"/>
        <v>never smoker</v>
      </c>
      <c r="AF49" s="19" t="str">
        <f t="shared" ca="1" si="8"/>
        <v>never smoker</v>
      </c>
    </row>
    <row r="50" spans="2:32" x14ac:dyDescent="0.4">
      <c r="B50" s="23" t="s">
        <v>876</v>
      </c>
      <c r="C50" s="24">
        <f>MATCH($B50, Backup_v02!$L:$L, 0)</f>
        <v>45</v>
      </c>
      <c r="D50" s="25" t="str">
        <f t="shared" ca="1" si="11"/>
        <v>LC_C25_nor</v>
      </c>
      <c r="E50" s="26">
        <f ca="1">IF(ISERROR(SEARCH(E$6, $D50)), 0, 1)</f>
        <v>1</v>
      </c>
      <c r="P50" s="6" t="s">
        <v>48</v>
      </c>
      <c r="Y50" s="6">
        <f>MATCH(Z50, Backup_v02!$L:$L, 0)</f>
        <v>29</v>
      </c>
      <c r="Z50" s="6" t="s">
        <v>160</v>
      </c>
      <c r="AA50" s="6" t="s">
        <v>1568</v>
      </c>
      <c r="AB50" s="6" t="s">
        <v>160</v>
      </c>
      <c r="AC50" s="6" t="b">
        <f t="shared" si="12"/>
        <v>1</v>
      </c>
      <c r="AD50" s="6" t="str">
        <f t="shared" ca="1" si="4"/>
        <v>LC_C17</v>
      </c>
      <c r="AE50" s="6" t="str">
        <f t="shared" ca="1" si="5"/>
        <v>never smoker</v>
      </c>
      <c r="AF50" s="19" t="str">
        <f t="shared" ca="1" si="8"/>
        <v>never smoker</v>
      </c>
    </row>
    <row r="51" spans="2:32" x14ac:dyDescent="0.4">
      <c r="B51" s="23" t="s">
        <v>232</v>
      </c>
      <c r="C51" s="24">
        <f>MATCH($B51, Backup_v02!$L:$L, 0)</f>
        <v>46</v>
      </c>
      <c r="D51" s="25" t="str">
        <f t="shared" ca="1" si="11"/>
        <v>LC_C26</v>
      </c>
      <c r="E51" s="26">
        <f ca="1">IF(ISERROR(SEARCH(E$6, $D51)), 0, 1)</f>
        <v>0</v>
      </c>
      <c r="P51" s="6">
        <v>4</v>
      </c>
      <c r="Y51" s="6">
        <f>MATCH(Z51, Backup_v02!$L:$L, 0)</f>
        <v>31</v>
      </c>
      <c r="Z51" s="6" t="s">
        <v>168</v>
      </c>
      <c r="AA51" s="6" t="s">
        <v>1568</v>
      </c>
      <c r="AB51" s="6" t="s">
        <v>168</v>
      </c>
      <c r="AC51" s="6" t="b">
        <f t="shared" si="12"/>
        <v>1</v>
      </c>
      <c r="AD51" s="6" t="str">
        <f t="shared" ca="1" si="4"/>
        <v>LC_C18</v>
      </c>
      <c r="AE51" s="6" t="str">
        <f t="shared" ca="1" si="5"/>
        <v>smoker</v>
      </c>
      <c r="AF51" s="19" t="str">
        <f t="shared" ca="1" si="8"/>
        <v>smoker</v>
      </c>
    </row>
    <row r="52" spans="2:32" x14ac:dyDescent="0.4">
      <c r="B52" s="23" t="s">
        <v>240</v>
      </c>
      <c r="C52" s="24">
        <f>MATCH($B52, Backup_v02!$L:$L, 0)</f>
        <v>47</v>
      </c>
      <c r="D52" s="25" t="str">
        <f t="shared" ca="1" si="11"/>
        <v>LC_C27</v>
      </c>
      <c r="E52" s="26">
        <f ca="1">IF(ISERROR(SEARCH(E$6, $D52)), 0, 1)</f>
        <v>0</v>
      </c>
      <c r="P52" s="6" t="s">
        <v>57</v>
      </c>
      <c r="Y52" s="6">
        <f>MATCH(Z52, Backup_v02!$L:$L, 0)</f>
        <v>33</v>
      </c>
      <c r="Z52" s="6" t="s">
        <v>176</v>
      </c>
      <c r="AA52" s="6" t="s">
        <v>1568</v>
      </c>
      <c r="AB52" s="6" t="s">
        <v>176</v>
      </c>
      <c r="AC52" s="6" t="b">
        <f t="shared" si="12"/>
        <v>1</v>
      </c>
      <c r="AD52" s="6" t="str">
        <f t="shared" ca="1" si="4"/>
        <v>LC_C19</v>
      </c>
      <c r="AE52" s="6" t="str">
        <f t="shared" ca="1" si="5"/>
        <v>never smoker</v>
      </c>
      <c r="AF52" s="19" t="str">
        <f t="shared" ca="1" si="8"/>
        <v>never smoker</v>
      </c>
    </row>
    <row r="53" spans="2:32" x14ac:dyDescent="0.4">
      <c r="B53" s="23" t="s">
        <v>248</v>
      </c>
      <c r="C53" s="24">
        <f>MATCH($B53, Backup_v02!$L:$L, 0)</f>
        <v>48</v>
      </c>
      <c r="D53" s="25" t="str">
        <f t="shared" ca="1" si="11"/>
        <v>LC_C28</v>
      </c>
      <c r="E53" s="26">
        <f ca="1">IF(ISERROR(SEARCH(E$6, $D53)), 0, 1)</f>
        <v>0</v>
      </c>
      <c r="Y53" s="6">
        <f>MATCH(Z53, Backup_v02!$L:$L, 0)</f>
        <v>35</v>
      </c>
      <c r="Z53" s="6" t="s">
        <v>184</v>
      </c>
      <c r="AA53" s="6" t="s">
        <v>1568</v>
      </c>
      <c r="AB53" s="6" t="s">
        <v>184</v>
      </c>
      <c r="AC53" s="6" t="b">
        <f t="shared" si="12"/>
        <v>1</v>
      </c>
      <c r="AD53" s="6" t="str">
        <f t="shared" ca="1" si="4"/>
        <v>LC_C20</v>
      </c>
      <c r="AE53" s="6" t="str">
        <f t="shared" ca="1" si="5"/>
        <v>smoker</v>
      </c>
      <c r="AF53" s="19" t="str">
        <f t="shared" ca="1" si="8"/>
        <v>smoker</v>
      </c>
    </row>
    <row r="54" spans="2:32" x14ac:dyDescent="0.4">
      <c r="B54" s="23" t="s">
        <v>884</v>
      </c>
      <c r="C54" s="24">
        <f>MATCH($B54, Backup_v02!$L:$L, 0)</f>
        <v>49</v>
      </c>
      <c r="D54" s="25" t="str">
        <f t="shared" ca="1" si="11"/>
        <v>LC_C28_nor</v>
      </c>
      <c r="E54" s="26">
        <f ca="1">IF(ISERROR(SEARCH(E$6, $D54)), 0, 1)</f>
        <v>1</v>
      </c>
      <c r="Y54" s="6">
        <f>MATCH(Z54, Backup_v02!$L:$L, 0)</f>
        <v>37</v>
      </c>
      <c r="Z54" s="6" t="s">
        <v>192</v>
      </c>
      <c r="AA54" s="6" t="s">
        <v>1568</v>
      </c>
      <c r="AB54" s="6" t="s">
        <v>192</v>
      </c>
      <c r="AC54" s="6" t="b">
        <f t="shared" si="12"/>
        <v>1</v>
      </c>
      <c r="AD54" s="6" t="str">
        <f t="shared" ca="1" si="4"/>
        <v>LC_C21</v>
      </c>
      <c r="AE54" s="6" t="str">
        <f t="shared" ca="1" si="5"/>
        <v>smoker</v>
      </c>
      <c r="AF54" s="19" t="str">
        <f t="shared" ca="1" si="8"/>
        <v>smoker</v>
      </c>
    </row>
    <row r="55" spans="2:32" x14ac:dyDescent="0.4">
      <c r="B55" s="23" t="s">
        <v>256</v>
      </c>
      <c r="C55" s="24">
        <f>MATCH($B55, Backup_v02!$L:$L, 0)</f>
        <v>50</v>
      </c>
      <c r="D55" s="25" t="str">
        <f t="shared" ca="1" si="11"/>
        <v>LC_C29</v>
      </c>
      <c r="E55" s="26">
        <f ca="1">IF(ISERROR(SEARCH(E$6, $D55)), 0, 1)</f>
        <v>0</v>
      </c>
      <c r="Y55" s="6">
        <f>MATCH(Z55, Backup_v02!$L:$L, 0)</f>
        <v>39</v>
      </c>
      <c r="Z55" s="6" t="s">
        <v>200</v>
      </c>
      <c r="AA55" s="6" t="s">
        <v>1568</v>
      </c>
      <c r="AB55" s="6" t="s">
        <v>200</v>
      </c>
      <c r="AC55" s="6" t="b">
        <f t="shared" si="12"/>
        <v>1</v>
      </c>
      <c r="AD55" s="6" t="str">
        <f t="shared" ca="1" si="4"/>
        <v>LC_C22</v>
      </c>
      <c r="AE55" s="6" t="str">
        <f t="shared" ca="1" si="5"/>
        <v>smoker</v>
      </c>
      <c r="AF55" s="19" t="str">
        <f t="shared" ca="1" si="8"/>
        <v>smoker</v>
      </c>
    </row>
    <row r="56" spans="2:32" x14ac:dyDescent="0.4">
      <c r="B56" s="23" t="s">
        <v>892</v>
      </c>
      <c r="C56" s="24">
        <f>MATCH($B56, Backup_v02!$L:$L, 0)</f>
        <v>51</v>
      </c>
      <c r="D56" s="25" t="str">
        <f t="shared" ca="1" si="11"/>
        <v>LC_C29_nor</v>
      </c>
      <c r="E56" s="26">
        <f ca="1">IF(ISERROR(SEARCH(E$6, $D56)), 0, 1)</f>
        <v>1</v>
      </c>
      <c r="Y56" s="6">
        <f>MATCH(Z56, Backup_v02!$L:$L, 0)</f>
        <v>41</v>
      </c>
      <c r="Z56" s="6" t="s">
        <v>208</v>
      </c>
      <c r="AA56" s="6" t="s">
        <v>1568</v>
      </c>
      <c r="AB56" s="6" t="s">
        <v>208</v>
      </c>
      <c r="AC56" s="6" t="b">
        <f t="shared" si="12"/>
        <v>1</v>
      </c>
      <c r="AD56" s="6" t="str">
        <f t="shared" ca="1" si="4"/>
        <v>LC_C23</v>
      </c>
      <c r="AE56" s="6" t="str">
        <f t="shared" ca="1" si="5"/>
        <v>NA</v>
      </c>
      <c r="AF56" s="19" t="str">
        <f t="shared" ca="1" si="8"/>
        <v>NA</v>
      </c>
    </row>
    <row r="57" spans="2:32" x14ac:dyDescent="0.4">
      <c r="B57" s="23" t="s">
        <v>264</v>
      </c>
      <c r="C57" s="24">
        <f>MATCH($B57, Backup_v02!$L:$L, 0)</f>
        <v>52</v>
      </c>
      <c r="D57" s="25" t="str">
        <f t="shared" ca="1" si="11"/>
        <v>LC_C30</v>
      </c>
      <c r="E57" s="26">
        <f ca="1">IF(ISERROR(SEARCH(E$6, $D57)), 0, 1)</f>
        <v>0</v>
      </c>
      <c r="Y57" s="6">
        <f>MATCH(Z57, Backup_v02!$L:$L, 0)</f>
        <v>42</v>
      </c>
      <c r="Z57" s="6" t="s">
        <v>216</v>
      </c>
      <c r="AA57" s="6" t="s">
        <v>1568</v>
      </c>
      <c r="AB57" s="6" t="s">
        <v>216</v>
      </c>
      <c r="AC57" s="6" t="b">
        <f t="shared" si="12"/>
        <v>1</v>
      </c>
      <c r="AD57" s="6" t="str">
        <f t="shared" ca="1" si="4"/>
        <v>LC_C24</v>
      </c>
      <c r="AE57" s="6" t="str">
        <f t="shared" ca="1" si="5"/>
        <v>never smoker</v>
      </c>
      <c r="AF57" s="19" t="str">
        <f t="shared" ca="1" si="8"/>
        <v>never smoker</v>
      </c>
    </row>
    <row r="58" spans="2:32" x14ac:dyDescent="0.4">
      <c r="B58" s="23" t="s">
        <v>900</v>
      </c>
      <c r="C58" s="24">
        <f>MATCH($B58, Backup_v02!$L:$L, 0)</f>
        <v>53</v>
      </c>
      <c r="D58" s="25" t="str">
        <f t="shared" ca="1" si="11"/>
        <v>LC_C30_nor</v>
      </c>
      <c r="E58" s="26">
        <f ca="1">IF(ISERROR(SEARCH(E$6, $D58)), 0, 1)</f>
        <v>1</v>
      </c>
      <c r="Y58" s="6">
        <f>MATCH(Z58, Backup_v02!$L:$L, 0)</f>
        <v>44</v>
      </c>
      <c r="Z58" s="6" t="s">
        <v>224</v>
      </c>
      <c r="AA58" s="6" t="s">
        <v>1568</v>
      </c>
      <c r="AB58" s="6" t="s">
        <v>224</v>
      </c>
      <c r="AC58" s="6" t="b">
        <f t="shared" si="12"/>
        <v>1</v>
      </c>
      <c r="AD58" s="6" t="str">
        <f t="shared" ca="1" si="4"/>
        <v>LC_C25</v>
      </c>
      <c r="AE58" s="6" t="str">
        <f t="shared" ca="1" si="5"/>
        <v>smoker</v>
      </c>
      <c r="AF58" s="19" t="str">
        <f t="shared" ca="1" si="8"/>
        <v>smoker</v>
      </c>
    </row>
    <row r="59" spans="2:32" x14ac:dyDescent="0.4">
      <c r="B59" s="23" t="s">
        <v>272</v>
      </c>
      <c r="C59" s="24">
        <f>MATCH($B59, Backup_v02!$L:$L, 0)</f>
        <v>54</v>
      </c>
      <c r="D59" s="25" t="str">
        <f t="shared" ca="1" si="11"/>
        <v>LC_C31</v>
      </c>
      <c r="E59" s="26">
        <f ca="1">IF(ISERROR(SEARCH(E$6, $D59)), 0, 1)</f>
        <v>0</v>
      </c>
      <c r="Y59" s="6">
        <f>MATCH(Z59, Backup_v02!$L:$L, 0)</f>
        <v>46</v>
      </c>
      <c r="Z59" s="6" t="s">
        <v>232</v>
      </c>
      <c r="AA59" s="6" t="s">
        <v>1568</v>
      </c>
      <c r="AB59" s="6" t="s">
        <v>232</v>
      </c>
      <c r="AC59" s="6" t="b">
        <f t="shared" si="12"/>
        <v>1</v>
      </c>
      <c r="AD59" s="6" t="str">
        <f t="shared" ca="1" si="4"/>
        <v>LC_C26</v>
      </c>
      <c r="AE59" s="6" t="str">
        <f t="shared" ca="1" si="5"/>
        <v>smoker</v>
      </c>
      <c r="AF59" s="19" t="str">
        <f t="shared" ca="1" si="8"/>
        <v>smoker</v>
      </c>
    </row>
    <row r="60" spans="2:32" x14ac:dyDescent="0.4">
      <c r="B60" s="23" t="s">
        <v>908</v>
      </c>
      <c r="C60" s="24">
        <f>MATCH($B60, Backup_v02!$L:$L, 0)</f>
        <v>55</v>
      </c>
      <c r="D60" s="25" t="str">
        <f t="shared" ca="1" si="11"/>
        <v>LC_C31_nor</v>
      </c>
      <c r="E60" s="26">
        <f ca="1">IF(ISERROR(SEARCH(E$6, $D60)), 0, 1)</f>
        <v>1</v>
      </c>
      <c r="Y60" s="6">
        <f>MATCH(Z60, Backup_v02!$L:$L, 0)</f>
        <v>47</v>
      </c>
      <c r="Z60" s="6" t="s">
        <v>240</v>
      </c>
      <c r="AA60" s="6" t="s">
        <v>1568</v>
      </c>
      <c r="AB60" s="6" t="s">
        <v>240</v>
      </c>
      <c r="AC60" s="6" t="b">
        <f t="shared" si="12"/>
        <v>1</v>
      </c>
      <c r="AD60" s="6" t="str">
        <f t="shared" ca="1" si="4"/>
        <v>LC_C27</v>
      </c>
      <c r="AE60" s="6" t="str">
        <f t="shared" ca="1" si="5"/>
        <v>never smoker</v>
      </c>
      <c r="AF60" s="19" t="str">
        <f t="shared" ca="1" si="8"/>
        <v>never smoker</v>
      </c>
    </row>
    <row r="61" spans="2:32" x14ac:dyDescent="0.4">
      <c r="B61" s="23" t="s">
        <v>280</v>
      </c>
      <c r="C61" s="24">
        <f>MATCH($B61, Backup_v02!$L:$L, 0)</f>
        <v>56</v>
      </c>
      <c r="D61" s="25" t="str">
        <f t="shared" ca="1" si="11"/>
        <v>LC_C32</v>
      </c>
      <c r="E61" s="26">
        <f ca="1">IF(ISERROR(SEARCH(E$6, $D61)), 0, 1)</f>
        <v>0</v>
      </c>
      <c r="Y61" s="6">
        <f>MATCH(Z61, Backup_v02!$L:$L, 0)</f>
        <v>48</v>
      </c>
      <c r="Z61" s="6" t="s">
        <v>248</v>
      </c>
      <c r="AA61" s="6" t="s">
        <v>1568</v>
      </c>
      <c r="AB61" s="6" t="s">
        <v>248</v>
      </c>
      <c r="AC61" s="6" t="b">
        <f t="shared" si="12"/>
        <v>1</v>
      </c>
      <c r="AD61" s="6" t="str">
        <f t="shared" ca="1" si="4"/>
        <v>LC_C28</v>
      </c>
      <c r="AE61" s="6" t="str">
        <f t="shared" ca="1" si="5"/>
        <v>never smoker</v>
      </c>
      <c r="AF61" s="19" t="str">
        <f t="shared" ca="1" si="8"/>
        <v>never smoker</v>
      </c>
    </row>
    <row r="62" spans="2:32" x14ac:dyDescent="0.4">
      <c r="B62" s="23" t="s">
        <v>288</v>
      </c>
      <c r="C62" s="24">
        <f>MATCH($B62, Backup_v02!$L:$L, 0)</f>
        <v>57</v>
      </c>
      <c r="D62" s="25" t="str">
        <f t="shared" ca="1" si="11"/>
        <v>LC_C33</v>
      </c>
      <c r="E62" s="26">
        <f ca="1">IF(ISERROR(SEARCH(E$6, $D62)), 0, 1)</f>
        <v>0</v>
      </c>
      <c r="Y62" s="6">
        <f>MATCH(Z62, Backup_v02!$L:$L, 0)</f>
        <v>50</v>
      </c>
      <c r="Z62" s="6" t="s">
        <v>256</v>
      </c>
      <c r="AA62" s="6" t="s">
        <v>1568</v>
      </c>
      <c r="AB62" s="6" t="s">
        <v>256</v>
      </c>
      <c r="AC62" s="6" t="b">
        <f t="shared" si="12"/>
        <v>1</v>
      </c>
      <c r="AD62" s="6" t="str">
        <f t="shared" ca="1" si="4"/>
        <v>LC_C29</v>
      </c>
      <c r="AE62" s="6" t="str">
        <f t="shared" ca="1" si="5"/>
        <v>never smoker</v>
      </c>
      <c r="AF62" s="19" t="str">
        <f t="shared" ca="1" si="8"/>
        <v>never smoker</v>
      </c>
    </row>
    <row r="63" spans="2:32" x14ac:dyDescent="0.4">
      <c r="B63" s="23" t="s">
        <v>916</v>
      </c>
      <c r="C63" s="24">
        <f>MATCH($B63, Backup_v02!$L:$L, 0)</f>
        <v>58</v>
      </c>
      <c r="D63" s="25" t="str">
        <f t="shared" ca="1" si="11"/>
        <v>LC_C33_nor</v>
      </c>
      <c r="E63" s="26">
        <f ca="1">IF(ISERROR(SEARCH(E$6, $D63)), 0, 1)</f>
        <v>1</v>
      </c>
      <c r="Y63" s="6">
        <f>MATCH(Z63, Backup_v02!$L:$L, 0)</f>
        <v>52</v>
      </c>
      <c r="Z63" s="6" t="s">
        <v>264</v>
      </c>
      <c r="AA63" s="6" t="s">
        <v>1568</v>
      </c>
      <c r="AB63" s="6" t="s">
        <v>264</v>
      </c>
      <c r="AC63" s="6" t="b">
        <f t="shared" si="12"/>
        <v>1</v>
      </c>
      <c r="AD63" s="6" t="str">
        <f t="shared" ca="1" si="4"/>
        <v>LC_C30</v>
      </c>
      <c r="AE63" s="6" t="str">
        <f t="shared" ca="1" si="5"/>
        <v>never smoker</v>
      </c>
      <c r="AF63" s="19" t="str">
        <f t="shared" ca="1" si="8"/>
        <v>never smoker</v>
      </c>
    </row>
    <row r="64" spans="2:32" x14ac:dyDescent="0.4">
      <c r="B64" s="23" t="s">
        <v>296</v>
      </c>
      <c r="C64" s="24">
        <f>MATCH($B64, Backup_v02!$L:$L, 0)</f>
        <v>59</v>
      </c>
      <c r="D64" s="25" t="str">
        <f t="shared" ca="1" si="11"/>
        <v>LC_C34</v>
      </c>
      <c r="E64" s="26">
        <f ca="1">IF(ISERROR(SEARCH(E$6, $D64)), 0, 1)</f>
        <v>0</v>
      </c>
      <c r="Y64" s="6">
        <f>MATCH(Z64, Backup_v02!$L:$L, 0)</f>
        <v>54</v>
      </c>
      <c r="Z64" s="6" t="s">
        <v>272</v>
      </c>
      <c r="AA64" s="6" t="s">
        <v>1568</v>
      </c>
      <c r="AB64" s="6" t="s">
        <v>272</v>
      </c>
      <c r="AC64" s="6" t="b">
        <f t="shared" si="12"/>
        <v>1</v>
      </c>
      <c r="AD64" s="6" t="str">
        <f t="shared" ca="1" si="4"/>
        <v>LC_C31</v>
      </c>
      <c r="AE64" s="6" t="str">
        <f t="shared" ca="1" si="5"/>
        <v>never smoker</v>
      </c>
      <c r="AF64" s="19" t="str">
        <f t="shared" ca="1" si="8"/>
        <v>never smoker</v>
      </c>
    </row>
    <row r="65" spans="2:32" x14ac:dyDescent="0.4">
      <c r="B65" s="23" t="s">
        <v>924</v>
      </c>
      <c r="C65" s="24">
        <f>MATCH($B65, Backup_v02!$L:$L, 0)</f>
        <v>60</v>
      </c>
      <c r="D65" s="25" t="str">
        <f t="shared" ca="1" si="11"/>
        <v>LC_C34_nor</v>
      </c>
      <c r="E65" s="26">
        <f ca="1">IF(ISERROR(SEARCH(E$6, $D65)), 0, 1)</f>
        <v>1</v>
      </c>
      <c r="Y65" s="6">
        <f>MATCH(Z65, Backup_v02!$L:$L, 0)</f>
        <v>56</v>
      </c>
      <c r="Z65" s="6" t="s">
        <v>280</v>
      </c>
      <c r="AA65" s="6" t="s">
        <v>1568</v>
      </c>
      <c r="AB65" s="6" t="s">
        <v>280</v>
      </c>
      <c r="AC65" s="6" t="b">
        <f t="shared" si="12"/>
        <v>1</v>
      </c>
      <c r="AD65" s="6" t="str">
        <f t="shared" ca="1" si="4"/>
        <v>LC_C32</v>
      </c>
      <c r="AE65" s="6" t="str">
        <f t="shared" ca="1" si="5"/>
        <v>current smoker</v>
      </c>
      <c r="AF65" s="19" t="str">
        <f t="shared" ca="1" si="8"/>
        <v>smoker</v>
      </c>
    </row>
    <row r="66" spans="2:32" x14ac:dyDescent="0.4">
      <c r="B66" s="23" t="s">
        <v>304</v>
      </c>
      <c r="C66" s="24">
        <f>MATCH($B66, Backup_v02!$L:$L, 0)</f>
        <v>61</v>
      </c>
      <c r="D66" s="25" t="str">
        <f t="shared" ca="1" si="11"/>
        <v>LC_C35</v>
      </c>
      <c r="E66" s="26">
        <f ca="1">IF(ISERROR(SEARCH(E$6, $D66)), 0, 1)</f>
        <v>0</v>
      </c>
      <c r="Y66" s="6">
        <f>MATCH(Z66, Backup_v02!$L:$L, 0)</f>
        <v>57</v>
      </c>
      <c r="Z66" s="6" t="s">
        <v>288</v>
      </c>
      <c r="AA66" s="6" t="s">
        <v>1568</v>
      </c>
      <c r="AB66" s="6" t="s">
        <v>288</v>
      </c>
      <c r="AC66" s="6" t="b">
        <f t="shared" si="12"/>
        <v>1</v>
      </c>
      <c r="AD66" s="6" t="str">
        <f t="shared" ca="1" si="4"/>
        <v>LC_C33</v>
      </c>
      <c r="AE66" s="6" t="str">
        <f t="shared" ca="1" si="5"/>
        <v>NA</v>
      </c>
      <c r="AF66" s="19" t="str">
        <f t="shared" ca="1" si="8"/>
        <v>NA</v>
      </c>
    </row>
    <row r="67" spans="2:32" x14ac:dyDescent="0.4">
      <c r="B67" s="23" t="s">
        <v>932</v>
      </c>
      <c r="C67" s="24">
        <f>MATCH($B67, Backup_v02!$L:$L, 0)</f>
        <v>62</v>
      </c>
      <c r="D67" s="25" t="str">
        <f t="shared" ca="1" si="11"/>
        <v>LC_C35_nor</v>
      </c>
      <c r="E67" s="26">
        <f ca="1">IF(ISERROR(SEARCH(E$6, $D67)), 0, 1)</f>
        <v>1</v>
      </c>
      <c r="Y67" s="6">
        <f>MATCH(Z67, Backup_v02!$L:$L, 0)</f>
        <v>59</v>
      </c>
      <c r="Z67" s="6" t="s">
        <v>296</v>
      </c>
      <c r="AA67" s="6" t="s">
        <v>1568</v>
      </c>
      <c r="AB67" s="6" t="s">
        <v>296</v>
      </c>
      <c r="AC67" s="6" t="b">
        <f t="shared" si="12"/>
        <v>1</v>
      </c>
      <c r="AD67" s="6" t="str">
        <f t="shared" ca="1" si="4"/>
        <v>LC_C34</v>
      </c>
      <c r="AE67" s="6" t="str">
        <f t="shared" ca="1" si="5"/>
        <v>smoker</v>
      </c>
      <c r="AF67" s="19" t="str">
        <f t="shared" ca="1" si="8"/>
        <v>smoker</v>
      </c>
    </row>
    <row r="68" spans="2:32" x14ac:dyDescent="0.4">
      <c r="B68" s="23" t="s">
        <v>312</v>
      </c>
      <c r="C68" s="24">
        <f>MATCH($B68, Backup_v02!$L:$L, 0)</f>
        <v>63</v>
      </c>
      <c r="D68" s="25" t="str">
        <f t="shared" ca="1" si="11"/>
        <v>LC_C36</v>
      </c>
      <c r="E68" s="26">
        <f ca="1">IF(ISERROR(SEARCH(E$6, $D68)), 0, 1)</f>
        <v>0</v>
      </c>
      <c r="Y68" s="6">
        <f>MATCH(Z68, Backup_v02!$L:$L, 0)</f>
        <v>61</v>
      </c>
      <c r="Z68" s="6" t="s">
        <v>304</v>
      </c>
      <c r="AA68" s="6" t="s">
        <v>1568</v>
      </c>
      <c r="AB68" s="6" t="s">
        <v>304</v>
      </c>
      <c r="AC68" s="6" t="b">
        <f t="shared" si="12"/>
        <v>1</v>
      </c>
      <c r="AD68" s="6" t="str">
        <f t="shared" ca="1" si="4"/>
        <v>LC_C35</v>
      </c>
      <c r="AE68" s="6" t="str">
        <f t="shared" ca="1" si="5"/>
        <v>current smoker</v>
      </c>
      <c r="AF68" s="19" t="str">
        <f t="shared" ca="1" si="8"/>
        <v>smoker</v>
      </c>
    </row>
    <row r="69" spans="2:32" x14ac:dyDescent="0.4">
      <c r="B69" s="27" t="s">
        <v>940</v>
      </c>
      <c r="C69" s="37">
        <f>MATCH($B69, Backup_v02!$L:$L, 0)</f>
        <v>64</v>
      </c>
      <c r="D69" s="38" t="str">
        <f t="shared" ca="1" si="11"/>
        <v>LC_C36_nor</v>
      </c>
      <c r="E69" s="35">
        <f ca="1">IF(ISERROR(SEARCH(E$6, $D69)), 0, 1)</f>
        <v>1</v>
      </c>
      <c r="Y69" s="6">
        <f>MATCH(Z69, Backup_v02!$L:$L, 0)</f>
        <v>63</v>
      </c>
      <c r="Z69" s="6" t="s">
        <v>312</v>
      </c>
      <c r="AA69" s="6" t="s">
        <v>1568</v>
      </c>
      <c r="AB69" s="6" t="s">
        <v>312</v>
      </c>
      <c r="AC69" s="6" t="b">
        <f t="shared" si="12"/>
        <v>1</v>
      </c>
      <c r="AD69" s="6" t="str">
        <f t="shared" ca="1" si="4"/>
        <v>LC_C36</v>
      </c>
      <c r="AE69" s="6" t="str">
        <f t="shared" ca="1" si="5"/>
        <v>never smoker</v>
      </c>
      <c r="AF69" s="19" t="str">
        <f t="shared" ca="1" si="8"/>
        <v>never smoker</v>
      </c>
    </row>
    <row r="71" spans="2:32" x14ac:dyDescent="0.4">
      <c r="B71" s="13" t="s">
        <v>948</v>
      </c>
      <c r="C71" s="17">
        <f>MATCH($B71, Backup_v02!$L:$L, 0)</f>
        <v>67</v>
      </c>
      <c r="D71" s="17" t="str">
        <f t="shared" ref="D71:D102" ca="1" si="13">INDIRECT($B$2&amp;"!"&amp;ADDRESS($C71, C$2))</f>
        <v>LC_S1_nor</v>
      </c>
      <c r="E71" s="17">
        <f ca="1">IF(ISERROR(SEARCH(E$6, $D71)), 0, 1)</f>
        <v>1</v>
      </c>
    </row>
    <row r="72" spans="2:32" x14ac:dyDescent="0.4">
      <c r="B72" s="23" t="s">
        <v>382</v>
      </c>
      <c r="C72" s="29">
        <f>MATCH($B72, Backup_v02!$L:$L, 0)</f>
        <v>83</v>
      </c>
      <c r="D72" s="29" t="str">
        <f t="shared" ca="1" si="13"/>
        <v>LC_S10</v>
      </c>
      <c r="E72" s="29">
        <f t="shared" ref="E72:E135" ca="1" si="14">IF(ISERROR(SEARCH(E$6, $D72)), 0, 1)</f>
        <v>0</v>
      </c>
    </row>
    <row r="73" spans="2:32" x14ac:dyDescent="0.4">
      <c r="B73" s="23" t="s">
        <v>1012</v>
      </c>
      <c r="C73" s="29">
        <f>MATCH($B73, Backup_v02!$L:$L, 0)</f>
        <v>84</v>
      </c>
      <c r="D73" s="29" t="str">
        <f t="shared" ca="1" si="13"/>
        <v>LC_S10_nor</v>
      </c>
      <c r="E73" s="29">
        <f t="shared" ca="1" si="14"/>
        <v>1</v>
      </c>
    </row>
    <row r="74" spans="2:32" x14ac:dyDescent="0.4">
      <c r="B74" s="23" t="s">
        <v>390</v>
      </c>
      <c r="C74" s="29">
        <f>MATCH($B74, Backup_v02!$L:$L, 0)</f>
        <v>85</v>
      </c>
      <c r="D74" s="29" t="str">
        <f t="shared" ca="1" si="13"/>
        <v>LC_S11</v>
      </c>
      <c r="E74" s="29">
        <f t="shared" ca="1" si="14"/>
        <v>0</v>
      </c>
    </row>
    <row r="75" spans="2:32" x14ac:dyDescent="0.4">
      <c r="B75" s="23" t="s">
        <v>1020</v>
      </c>
      <c r="C75" s="29">
        <f>MATCH($B75, Backup_v02!$L:$L, 0)</f>
        <v>86</v>
      </c>
      <c r="D75" s="29" t="str">
        <f t="shared" ca="1" si="13"/>
        <v>LC_S11_nor</v>
      </c>
      <c r="E75" s="29">
        <f t="shared" ca="1" si="14"/>
        <v>1</v>
      </c>
    </row>
    <row r="76" spans="2:32" x14ac:dyDescent="0.4">
      <c r="B76" s="23" t="s">
        <v>398</v>
      </c>
      <c r="C76" s="29">
        <f>MATCH($B76, Backup_v02!$L:$L, 0)</f>
        <v>87</v>
      </c>
      <c r="D76" s="29" t="str">
        <f t="shared" ca="1" si="13"/>
        <v>LC_S12</v>
      </c>
      <c r="E76" s="29">
        <f t="shared" ca="1" si="14"/>
        <v>0</v>
      </c>
    </row>
    <row r="77" spans="2:32" x14ac:dyDescent="0.4">
      <c r="B77" s="23" t="s">
        <v>406</v>
      </c>
      <c r="C77" s="29">
        <f>MATCH($B77, Backup_v02!$L:$L, 0)</f>
        <v>88</v>
      </c>
      <c r="D77" s="29" t="str">
        <f t="shared" ca="1" si="13"/>
        <v>LC_S13</v>
      </c>
      <c r="E77" s="29">
        <f t="shared" ca="1" si="14"/>
        <v>0</v>
      </c>
    </row>
    <row r="78" spans="2:32" x14ac:dyDescent="0.4">
      <c r="B78" s="23" t="s">
        <v>1028</v>
      </c>
      <c r="C78" s="29">
        <f>MATCH($B78, Backup_v02!$L:$L, 0)</f>
        <v>89</v>
      </c>
      <c r="D78" s="29" t="str">
        <f t="shared" ca="1" si="13"/>
        <v>LC_S13_nor</v>
      </c>
      <c r="E78" s="29">
        <f t="shared" ca="1" si="14"/>
        <v>1</v>
      </c>
    </row>
    <row r="79" spans="2:32" x14ac:dyDescent="0.4">
      <c r="B79" s="23" t="s">
        <v>414</v>
      </c>
      <c r="C79" s="29">
        <f>MATCH($B79, Backup_v02!$L:$L, 0)</f>
        <v>90</v>
      </c>
      <c r="D79" s="29" t="str">
        <f t="shared" ca="1" si="13"/>
        <v>LC_S14</v>
      </c>
      <c r="E79" s="29">
        <f t="shared" ca="1" si="14"/>
        <v>0</v>
      </c>
    </row>
    <row r="80" spans="2:32" x14ac:dyDescent="0.4">
      <c r="B80" s="23" t="s">
        <v>1036</v>
      </c>
      <c r="C80" s="29">
        <f>MATCH($B80, Backup_v02!$L:$L, 0)</f>
        <v>91</v>
      </c>
      <c r="D80" s="29" t="str">
        <f t="shared" ca="1" si="13"/>
        <v>LC_S14_nor</v>
      </c>
      <c r="E80" s="29">
        <f t="shared" ca="1" si="14"/>
        <v>1</v>
      </c>
    </row>
    <row r="81" spans="2:5" x14ac:dyDescent="0.4">
      <c r="B81" s="23" t="s">
        <v>422</v>
      </c>
      <c r="C81" s="29">
        <f>MATCH($B81, Backup_v02!$L:$L, 0)</f>
        <v>92</v>
      </c>
      <c r="D81" s="29" t="str">
        <f t="shared" ca="1" si="13"/>
        <v>LC_S15</v>
      </c>
      <c r="E81" s="29">
        <f t="shared" ca="1" si="14"/>
        <v>0</v>
      </c>
    </row>
    <row r="82" spans="2:5" x14ac:dyDescent="0.4">
      <c r="B82" s="23" t="s">
        <v>1044</v>
      </c>
      <c r="C82" s="29">
        <f>MATCH($B82, Backup_v02!$L:$L, 0)</f>
        <v>93</v>
      </c>
      <c r="D82" s="29" t="str">
        <f t="shared" ca="1" si="13"/>
        <v>LC_S15_nor</v>
      </c>
      <c r="E82" s="29">
        <f t="shared" ca="1" si="14"/>
        <v>1</v>
      </c>
    </row>
    <row r="83" spans="2:5" x14ac:dyDescent="0.4">
      <c r="B83" s="23" t="s">
        <v>430</v>
      </c>
      <c r="C83" s="29">
        <f>MATCH($B83, Backup_v02!$L:$L, 0)</f>
        <v>94</v>
      </c>
      <c r="D83" s="29" t="str">
        <f t="shared" ca="1" si="13"/>
        <v>LC_S16</v>
      </c>
      <c r="E83" s="29">
        <f t="shared" ca="1" si="14"/>
        <v>0</v>
      </c>
    </row>
    <row r="84" spans="2:5" x14ac:dyDescent="0.4">
      <c r="B84" s="23" t="s">
        <v>433</v>
      </c>
      <c r="C84" s="29">
        <f>MATCH($B84, Backup_v02!$L:$L, 0)</f>
        <v>95</v>
      </c>
      <c r="D84" s="29" t="str">
        <f t="shared" ca="1" si="13"/>
        <v>LC_S16</v>
      </c>
      <c r="E84" s="29">
        <f t="shared" ca="1" si="14"/>
        <v>0</v>
      </c>
    </row>
    <row r="85" spans="2:5" x14ac:dyDescent="0.4">
      <c r="B85" s="23" t="s">
        <v>1052</v>
      </c>
      <c r="C85" s="29">
        <f>MATCH($B85, Backup_v02!$L:$L, 0)</f>
        <v>96</v>
      </c>
      <c r="D85" s="29" t="str">
        <f t="shared" ca="1" si="13"/>
        <v>LC_S16_nor</v>
      </c>
      <c r="E85" s="29">
        <f t="shared" ca="1" si="14"/>
        <v>1</v>
      </c>
    </row>
    <row r="86" spans="2:5" x14ac:dyDescent="0.4">
      <c r="B86" s="23" t="s">
        <v>441</v>
      </c>
      <c r="C86" s="29">
        <f>MATCH($B86, Backup_v02!$L:$L, 0)</f>
        <v>97</v>
      </c>
      <c r="D86" s="29" t="str">
        <f t="shared" ca="1" si="13"/>
        <v>LC_S17</v>
      </c>
      <c r="E86" s="29">
        <f t="shared" ca="1" si="14"/>
        <v>0</v>
      </c>
    </row>
    <row r="87" spans="2:5" x14ac:dyDescent="0.4">
      <c r="B87" s="23" t="s">
        <v>444</v>
      </c>
      <c r="C87" s="29">
        <f>MATCH($B87, Backup_v02!$L:$L, 0)</f>
        <v>98</v>
      </c>
      <c r="D87" s="29" t="str">
        <f t="shared" ca="1" si="13"/>
        <v>LC_S17</v>
      </c>
      <c r="E87" s="29">
        <f t="shared" ca="1" si="14"/>
        <v>0</v>
      </c>
    </row>
    <row r="88" spans="2:5" x14ac:dyDescent="0.4">
      <c r="B88" s="23" t="s">
        <v>1060</v>
      </c>
      <c r="C88" s="29">
        <f>MATCH($B88, Backup_v02!$L:$L, 0)</f>
        <v>99</v>
      </c>
      <c r="D88" s="29" t="str">
        <f t="shared" ca="1" si="13"/>
        <v>LC_S17_nor</v>
      </c>
      <c r="E88" s="29">
        <f t="shared" ca="1" si="14"/>
        <v>1</v>
      </c>
    </row>
    <row r="89" spans="2:5" x14ac:dyDescent="0.4">
      <c r="B89" s="23" t="s">
        <v>452</v>
      </c>
      <c r="C89" s="29">
        <f>MATCH($B89, Backup_v02!$L:$L, 0)</f>
        <v>100</v>
      </c>
      <c r="D89" s="29" t="str">
        <f t="shared" ca="1" si="13"/>
        <v>LC_S18</v>
      </c>
      <c r="E89" s="29">
        <f t="shared" ca="1" si="14"/>
        <v>0</v>
      </c>
    </row>
    <row r="90" spans="2:5" x14ac:dyDescent="0.4">
      <c r="B90" s="23" t="s">
        <v>1068</v>
      </c>
      <c r="C90" s="29">
        <f>MATCH($B90, Backup_v02!$L:$L, 0)</f>
        <v>101</v>
      </c>
      <c r="D90" s="29" t="str">
        <f t="shared" ca="1" si="13"/>
        <v>LC_S18_nor</v>
      </c>
      <c r="E90" s="29">
        <f t="shared" ca="1" si="14"/>
        <v>1</v>
      </c>
    </row>
    <row r="91" spans="2:5" x14ac:dyDescent="0.4">
      <c r="B91" s="23" t="s">
        <v>460</v>
      </c>
      <c r="C91" s="29">
        <f>MATCH($B91, Backup_v02!$L:$L, 0)</f>
        <v>102</v>
      </c>
      <c r="D91" s="29" t="str">
        <f t="shared" ca="1" si="13"/>
        <v>LC_S19</v>
      </c>
      <c r="E91" s="29">
        <f t="shared" ca="1" si="14"/>
        <v>0</v>
      </c>
    </row>
    <row r="92" spans="2:5" x14ac:dyDescent="0.4">
      <c r="B92" s="23" t="s">
        <v>1076</v>
      </c>
      <c r="C92" s="29">
        <f>MATCH($B92, Backup_v02!$L:$L, 0)</f>
        <v>103</v>
      </c>
      <c r="D92" s="29" t="str">
        <f t="shared" ca="1" si="13"/>
        <v>LC_S19_nor</v>
      </c>
      <c r="E92" s="29">
        <f t="shared" ca="1" si="14"/>
        <v>1</v>
      </c>
    </row>
    <row r="93" spans="2:5" x14ac:dyDescent="0.4">
      <c r="B93" s="23" t="s">
        <v>956</v>
      </c>
      <c r="C93" s="29">
        <f>MATCH($B93, Backup_v02!$L:$L, 0)</f>
        <v>69</v>
      </c>
      <c r="D93" s="29" t="str">
        <f t="shared" ca="1" si="13"/>
        <v>LC_S2_nor</v>
      </c>
      <c r="E93" s="29">
        <f t="shared" ca="1" si="14"/>
        <v>1</v>
      </c>
    </row>
    <row r="94" spans="2:5" x14ac:dyDescent="0.4">
      <c r="B94" s="23" t="s">
        <v>468</v>
      </c>
      <c r="C94" s="29">
        <f>MATCH($B94, Backup_v02!$L:$L, 0)</f>
        <v>104</v>
      </c>
      <c r="D94" s="29" t="str">
        <f t="shared" ca="1" si="13"/>
        <v>LC_S20</v>
      </c>
      <c r="E94" s="29">
        <f t="shared" ca="1" si="14"/>
        <v>0</v>
      </c>
    </row>
    <row r="95" spans="2:5" x14ac:dyDescent="0.4">
      <c r="B95" s="23" t="s">
        <v>1084</v>
      </c>
      <c r="C95" s="29">
        <f>MATCH($B95, Backup_v02!$L:$L, 0)</f>
        <v>105</v>
      </c>
      <c r="D95" s="29" t="str">
        <f t="shared" ca="1" si="13"/>
        <v>LC_S20_nor</v>
      </c>
      <c r="E95" s="29">
        <f t="shared" ca="1" si="14"/>
        <v>1</v>
      </c>
    </row>
    <row r="96" spans="2:5" x14ac:dyDescent="0.4">
      <c r="B96" s="23" t="s">
        <v>476</v>
      </c>
      <c r="C96" s="29">
        <f>MATCH($B96, Backup_v02!$L:$L, 0)</f>
        <v>106</v>
      </c>
      <c r="D96" s="29" t="str">
        <f t="shared" ca="1" si="13"/>
        <v>LC_S21</v>
      </c>
      <c r="E96" s="29">
        <f t="shared" ca="1" si="14"/>
        <v>0</v>
      </c>
    </row>
    <row r="97" spans="2:5" x14ac:dyDescent="0.4">
      <c r="B97" s="23" t="s">
        <v>1092</v>
      </c>
      <c r="C97" s="29">
        <f>MATCH($B97, Backup_v02!$L:$L, 0)</f>
        <v>107</v>
      </c>
      <c r="D97" s="29" t="str">
        <f t="shared" ca="1" si="13"/>
        <v>LC_S21_nor</v>
      </c>
      <c r="E97" s="29">
        <f t="shared" ca="1" si="14"/>
        <v>1</v>
      </c>
    </row>
    <row r="98" spans="2:5" x14ac:dyDescent="0.4">
      <c r="B98" s="23" t="s">
        <v>484</v>
      </c>
      <c r="C98" s="29">
        <f>MATCH($B98, Backup_v02!$L:$L, 0)</f>
        <v>108</v>
      </c>
      <c r="D98" s="29" t="str">
        <f t="shared" ca="1" si="13"/>
        <v>LC_S22</v>
      </c>
      <c r="E98" s="29">
        <f t="shared" ca="1" si="14"/>
        <v>0</v>
      </c>
    </row>
    <row r="99" spans="2:5" x14ac:dyDescent="0.4">
      <c r="B99" s="23" t="s">
        <v>1100</v>
      </c>
      <c r="C99" s="29">
        <f>MATCH($B99, Backup_v02!$L:$L, 0)</f>
        <v>109</v>
      </c>
      <c r="D99" s="29" t="str">
        <f t="shared" ca="1" si="13"/>
        <v>LC_S22_nor</v>
      </c>
      <c r="E99" s="29">
        <f t="shared" ca="1" si="14"/>
        <v>1</v>
      </c>
    </row>
    <row r="100" spans="2:5" x14ac:dyDescent="0.4">
      <c r="B100" s="23" t="s">
        <v>492</v>
      </c>
      <c r="C100" s="29">
        <f>MATCH($B100, Backup_v02!$L:$L, 0)</f>
        <v>110</v>
      </c>
      <c r="D100" s="29" t="str">
        <f t="shared" ca="1" si="13"/>
        <v>LC_S23</v>
      </c>
      <c r="E100" s="29">
        <f t="shared" ca="1" si="14"/>
        <v>0</v>
      </c>
    </row>
    <row r="101" spans="2:5" x14ac:dyDescent="0.4">
      <c r="B101" s="23" t="s">
        <v>1108</v>
      </c>
      <c r="C101" s="29">
        <f>MATCH($B101, Backup_v02!$L:$L, 0)</f>
        <v>111</v>
      </c>
      <c r="D101" s="29" t="str">
        <f t="shared" ca="1" si="13"/>
        <v>LC_S23_nor</v>
      </c>
      <c r="E101" s="29">
        <f t="shared" ca="1" si="14"/>
        <v>1</v>
      </c>
    </row>
    <row r="102" spans="2:5" x14ac:dyDescent="0.4">
      <c r="B102" s="23" t="s">
        <v>500</v>
      </c>
      <c r="C102" s="29">
        <f>MATCH($B102, Backup_v02!$L:$L, 0)</f>
        <v>112</v>
      </c>
      <c r="D102" s="29" t="str">
        <f t="shared" ca="1" si="13"/>
        <v>LC_S24</v>
      </c>
      <c r="E102" s="29">
        <f t="shared" ca="1" si="14"/>
        <v>0</v>
      </c>
    </row>
    <row r="103" spans="2:5" x14ac:dyDescent="0.4">
      <c r="B103" s="23" t="s">
        <v>1116</v>
      </c>
      <c r="C103" s="29">
        <f>MATCH($B103, Backup_v02!$L:$L, 0)</f>
        <v>113</v>
      </c>
      <c r="D103" s="29" t="str">
        <f t="shared" ref="D103:D134" ca="1" si="15">INDIRECT($B$2&amp;"!"&amp;ADDRESS($C103, C$2))</f>
        <v>LC_S24_nor</v>
      </c>
      <c r="E103" s="29">
        <f t="shared" ca="1" si="14"/>
        <v>1</v>
      </c>
    </row>
    <row r="104" spans="2:5" x14ac:dyDescent="0.4">
      <c r="B104" s="23" t="s">
        <v>508</v>
      </c>
      <c r="C104" s="29">
        <f>MATCH($B104, Backup_v02!$L:$L, 0)</f>
        <v>114</v>
      </c>
      <c r="D104" s="29" t="str">
        <f t="shared" ca="1" si="15"/>
        <v>LC_S25</v>
      </c>
      <c r="E104" s="29">
        <f t="shared" ca="1" si="14"/>
        <v>0</v>
      </c>
    </row>
    <row r="105" spans="2:5" x14ac:dyDescent="0.4">
      <c r="B105" s="23" t="s">
        <v>1124</v>
      </c>
      <c r="C105" s="29">
        <f>MATCH($B105, Backup_v02!$L:$L, 0)</f>
        <v>115</v>
      </c>
      <c r="D105" s="29" t="str">
        <f t="shared" ca="1" si="15"/>
        <v>LC_S25_nor</v>
      </c>
      <c r="E105" s="29">
        <f t="shared" ca="1" si="14"/>
        <v>1</v>
      </c>
    </row>
    <row r="106" spans="2:5" x14ac:dyDescent="0.4">
      <c r="B106" s="23" t="s">
        <v>516</v>
      </c>
      <c r="C106" s="29">
        <f>MATCH($B106, Backup_v02!$L:$L, 0)</f>
        <v>116</v>
      </c>
      <c r="D106" s="29" t="str">
        <f t="shared" ca="1" si="15"/>
        <v>LC_S26</v>
      </c>
      <c r="E106" s="29">
        <f t="shared" ca="1" si="14"/>
        <v>0</v>
      </c>
    </row>
    <row r="107" spans="2:5" x14ac:dyDescent="0.4">
      <c r="B107" s="23" t="s">
        <v>1132</v>
      </c>
      <c r="C107" s="29">
        <f>MATCH($B107, Backup_v02!$L:$L, 0)</f>
        <v>117</v>
      </c>
      <c r="D107" s="29" t="str">
        <f t="shared" ca="1" si="15"/>
        <v>LC_S26_nor</v>
      </c>
      <c r="E107" s="29">
        <f t="shared" ca="1" si="14"/>
        <v>1</v>
      </c>
    </row>
    <row r="108" spans="2:5" x14ac:dyDescent="0.4">
      <c r="B108" s="23" t="s">
        <v>524</v>
      </c>
      <c r="C108" s="29">
        <f>MATCH($B108, Backup_v02!$L:$L, 0)</f>
        <v>118</v>
      </c>
      <c r="D108" s="29" t="str">
        <f t="shared" ca="1" si="15"/>
        <v>LC_S27</v>
      </c>
      <c r="E108" s="29">
        <f t="shared" ca="1" si="14"/>
        <v>0</v>
      </c>
    </row>
    <row r="109" spans="2:5" x14ac:dyDescent="0.4">
      <c r="B109" s="23" t="s">
        <v>1140</v>
      </c>
      <c r="C109" s="29">
        <f>MATCH($B109, Backup_v02!$L:$L, 0)</f>
        <v>119</v>
      </c>
      <c r="D109" s="29" t="str">
        <f t="shared" ca="1" si="15"/>
        <v>LC_S27_nor</v>
      </c>
      <c r="E109" s="29">
        <f t="shared" ca="1" si="14"/>
        <v>1</v>
      </c>
    </row>
    <row r="110" spans="2:5" x14ac:dyDescent="0.4">
      <c r="B110" s="23" t="s">
        <v>532</v>
      </c>
      <c r="C110" s="29">
        <f>MATCH($B110, Backup_v02!$L:$L, 0)</f>
        <v>120</v>
      </c>
      <c r="D110" s="29" t="str">
        <f t="shared" ca="1" si="15"/>
        <v>LC_S28</v>
      </c>
      <c r="E110" s="29">
        <f t="shared" ca="1" si="14"/>
        <v>0</v>
      </c>
    </row>
    <row r="111" spans="2:5" x14ac:dyDescent="0.4">
      <c r="B111" s="23" t="s">
        <v>1148</v>
      </c>
      <c r="C111" s="29">
        <f>MATCH($B111, Backup_v02!$L:$L, 0)</f>
        <v>121</v>
      </c>
      <c r="D111" s="29" t="str">
        <f t="shared" ca="1" si="15"/>
        <v>LC_S28_nor</v>
      </c>
      <c r="E111" s="29">
        <f t="shared" ca="1" si="14"/>
        <v>1</v>
      </c>
    </row>
    <row r="112" spans="2:5" x14ac:dyDescent="0.4">
      <c r="B112" s="23" t="s">
        <v>540</v>
      </c>
      <c r="C112" s="29">
        <f>MATCH($B112, Backup_v02!$L:$L, 0)</f>
        <v>122</v>
      </c>
      <c r="D112" s="29" t="str">
        <f t="shared" ca="1" si="15"/>
        <v>LC_S29</v>
      </c>
      <c r="E112" s="29">
        <f t="shared" ca="1" si="14"/>
        <v>0</v>
      </c>
    </row>
    <row r="113" spans="2:5" x14ac:dyDescent="0.4">
      <c r="B113" s="23" t="s">
        <v>1156</v>
      </c>
      <c r="C113" s="29">
        <f>MATCH($B113, Backup_v02!$L:$L, 0)</f>
        <v>123</v>
      </c>
      <c r="D113" s="29" t="str">
        <f t="shared" ca="1" si="15"/>
        <v>LC_S29_nor</v>
      </c>
      <c r="E113" s="29">
        <f t="shared" ca="1" si="14"/>
        <v>1</v>
      </c>
    </row>
    <row r="114" spans="2:5" x14ac:dyDescent="0.4">
      <c r="B114" s="23" t="s">
        <v>964</v>
      </c>
      <c r="C114" s="29">
        <f>MATCH($B114, Backup_v02!$L:$L, 0)</f>
        <v>71</v>
      </c>
      <c r="D114" s="29" t="str">
        <f t="shared" ca="1" si="15"/>
        <v>LC_S3_nor</v>
      </c>
      <c r="E114" s="29">
        <f t="shared" ca="1" si="14"/>
        <v>1</v>
      </c>
    </row>
    <row r="115" spans="2:5" x14ac:dyDescent="0.4">
      <c r="B115" s="23" t="s">
        <v>548</v>
      </c>
      <c r="C115" s="29">
        <f>MATCH($B115, Backup_v02!$L:$L, 0)</f>
        <v>124</v>
      </c>
      <c r="D115" s="29" t="str">
        <f t="shared" ca="1" si="15"/>
        <v>LC_S30</v>
      </c>
      <c r="E115" s="29">
        <f t="shared" ca="1" si="14"/>
        <v>0</v>
      </c>
    </row>
    <row r="116" spans="2:5" x14ac:dyDescent="0.4">
      <c r="B116" s="23" t="s">
        <v>1164</v>
      </c>
      <c r="C116" s="29">
        <f>MATCH($B116, Backup_v02!$L:$L, 0)</f>
        <v>125</v>
      </c>
      <c r="D116" s="29" t="str">
        <f t="shared" ca="1" si="15"/>
        <v>LC_S30_nor</v>
      </c>
      <c r="E116" s="29">
        <f t="shared" ca="1" si="14"/>
        <v>1</v>
      </c>
    </row>
    <row r="117" spans="2:5" x14ac:dyDescent="0.4">
      <c r="B117" s="23" t="s">
        <v>556</v>
      </c>
      <c r="C117" s="29">
        <f>MATCH($B117, Backup_v02!$L:$L, 0)</f>
        <v>126</v>
      </c>
      <c r="D117" s="29" t="str">
        <f t="shared" ca="1" si="15"/>
        <v>LC_S31</v>
      </c>
      <c r="E117" s="29">
        <f t="shared" ca="1" si="14"/>
        <v>0</v>
      </c>
    </row>
    <row r="118" spans="2:5" x14ac:dyDescent="0.4">
      <c r="B118" s="23" t="s">
        <v>1172</v>
      </c>
      <c r="C118" s="29">
        <f>MATCH($B118, Backup_v02!$L:$L, 0)</f>
        <v>127</v>
      </c>
      <c r="D118" s="29" t="str">
        <f t="shared" ca="1" si="15"/>
        <v>LC_S31_nor</v>
      </c>
      <c r="E118" s="29">
        <f t="shared" ca="1" si="14"/>
        <v>1</v>
      </c>
    </row>
    <row r="119" spans="2:5" x14ac:dyDescent="0.4">
      <c r="B119" s="23" t="s">
        <v>564</v>
      </c>
      <c r="C119" s="29">
        <f>MATCH($B119, Backup_v02!$L:$L, 0)</f>
        <v>128</v>
      </c>
      <c r="D119" s="29" t="str">
        <f t="shared" ca="1" si="15"/>
        <v>LC_S32</v>
      </c>
      <c r="E119" s="29">
        <f t="shared" ca="1" si="14"/>
        <v>0</v>
      </c>
    </row>
    <row r="120" spans="2:5" x14ac:dyDescent="0.4">
      <c r="B120" s="23" t="s">
        <v>1180</v>
      </c>
      <c r="C120" s="29">
        <f>MATCH($B120, Backup_v02!$L:$L, 0)</f>
        <v>129</v>
      </c>
      <c r="D120" s="29" t="str">
        <f t="shared" ca="1" si="15"/>
        <v>LC_S32_nor</v>
      </c>
      <c r="E120" s="29">
        <f t="shared" ca="1" si="14"/>
        <v>1</v>
      </c>
    </row>
    <row r="121" spans="2:5" x14ac:dyDescent="0.4">
      <c r="B121" s="23" t="s">
        <v>572</v>
      </c>
      <c r="C121" s="29">
        <f>MATCH($B121, Backup_v02!$L:$L, 0)</f>
        <v>130</v>
      </c>
      <c r="D121" s="29" t="str">
        <f t="shared" ca="1" si="15"/>
        <v>LC_S33</v>
      </c>
      <c r="E121" s="29">
        <f t="shared" ca="1" si="14"/>
        <v>0</v>
      </c>
    </row>
    <row r="122" spans="2:5" x14ac:dyDescent="0.4">
      <c r="B122" s="23" t="s">
        <v>1188</v>
      </c>
      <c r="C122" s="29">
        <f>MATCH($B122, Backup_v02!$L:$L, 0)</f>
        <v>131</v>
      </c>
      <c r="D122" s="29" t="str">
        <f t="shared" ca="1" si="15"/>
        <v>LC_S33_nor</v>
      </c>
      <c r="E122" s="29">
        <f t="shared" ca="1" si="14"/>
        <v>1</v>
      </c>
    </row>
    <row r="123" spans="2:5" x14ac:dyDescent="0.4">
      <c r="B123" s="23" t="s">
        <v>580</v>
      </c>
      <c r="C123" s="29">
        <f>MATCH($B123, Backup_v02!$L:$L, 0)</f>
        <v>132</v>
      </c>
      <c r="D123" s="29" t="str">
        <f t="shared" ca="1" si="15"/>
        <v>LC_S34</v>
      </c>
      <c r="E123" s="29">
        <f t="shared" ca="1" si="14"/>
        <v>0</v>
      </c>
    </row>
    <row r="124" spans="2:5" x14ac:dyDescent="0.4">
      <c r="B124" s="23" t="s">
        <v>1196</v>
      </c>
      <c r="C124" s="29">
        <f>MATCH($B124, Backup_v02!$L:$L, 0)</f>
        <v>133</v>
      </c>
      <c r="D124" s="29" t="str">
        <f t="shared" ca="1" si="15"/>
        <v>LC_S34_nor</v>
      </c>
      <c r="E124" s="29">
        <f t="shared" ca="1" si="14"/>
        <v>1</v>
      </c>
    </row>
    <row r="125" spans="2:5" x14ac:dyDescent="0.4">
      <c r="B125" s="23" t="s">
        <v>588</v>
      </c>
      <c r="C125" s="29">
        <f>MATCH($B125, Backup_v02!$L:$L, 0)</f>
        <v>134</v>
      </c>
      <c r="D125" s="29" t="str">
        <f t="shared" ca="1" si="15"/>
        <v>LC_S35</v>
      </c>
      <c r="E125" s="29">
        <f t="shared" ca="1" si="14"/>
        <v>0</v>
      </c>
    </row>
    <row r="126" spans="2:5" x14ac:dyDescent="0.4">
      <c r="B126" s="23" t="s">
        <v>1204</v>
      </c>
      <c r="C126" s="29">
        <f>MATCH($B126, Backup_v02!$L:$L, 0)</f>
        <v>135</v>
      </c>
      <c r="D126" s="29" t="str">
        <f t="shared" ca="1" si="15"/>
        <v>LC_S35_nor</v>
      </c>
      <c r="E126" s="29">
        <f t="shared" ca="1" si="14"/>
        <v>1</v>
      </c>
    </row>
    <row r="127" spans="2:5" x14ac:dyDescent="0.4">
      <c r="B127" s="23" t="s">
        <v>596</v>
      </c>
      <c r="C127" s="29">
        <f>MATCH($B127, Backup_v02!$L:$L, 0)</f>
        <v>136</v>
      </c>
      <c r="D127" s="29" t="str">
        <f t="shared" ca="1" si="15"/>
        <v>LC_S36</v>
      </c>
      <c r="E127" s="29">
        <f t="shared" ca="1" si="14"/>
        <v>0</v>
      </c>
    </row>
    <row r="128" spans="2:5" x14ac:dyDescent="0.4">
      <c r="B128" s="23" t="s">
        <v>1212</v>
      </c>
      <c r="C128" s="29">
        <f>MATCH($B128, Backup_v02!$L:$L, 0)</f>
        <v>137</v>
      </c>
      <c r="D128" s="29" t="str">
        <f t="shared" ca="1" si="15"/>
        <v>LC_S36_nor</v>
      </c>
      <c r="E128" s="29">
        <f t="shared" ca="1" si="14"/>
        <v>1</v>
      </c>
    </row>
    <row r="129" spans="2:5" x14ac:dyDescent="0.4">
      <c r="B129" s="23" t="s">
        <v>604</v>
      </c>
      <c r="C129" s="29">
        <f>MATCH($B129, Backup_v02!$L:$L, 0)</f>
        <v>138</v>
      </c>
      <c r="D129" s="29" t="str">
        <f t="shared" ca="1" si="15"/>
        <v>LC_S37</v>
      </c>
      <c r="E129" s="29">
        <f t="shared" ca="1" si="14"/>
        <v>0</v>
      </c>
    </row>
    <row r="130" spans="2:5" x14ac:dyDescent="0.4">
      <c r="B130" s="23" t="s">
        <v>1220</v>
      </c>
      <c r="C130" s="29">
        <f>MATCH($B130, Backup_v02!$L:$L, 0)</f>
        <v>139</v>
      </c>
      <c r="D130" s="29" t="str">
        <f t="shared" ca="1" si="15"/>
        <v>LC_S37_nor</v>
      </c>
      <c r="E130" s="29">
        <f t="shared" ca="1" si="14"/>
        <v>1</v>
      </c>
    </row>
    <row r="131" spans="2:5" x14ac:dyDescent="0.4">
      <c r="B131" s="23" t="s">
        <v>612</v>
      </c>
      <c r="C131" s="29">
        <f>MATCH($B131, Backup_v02!$L:$L, 0)</f>
        <v>140</v>
      </c>
      <c r="D131" s="29" t="str">
        <f t="shared" ca="1" si="15"/>
        <v>LC_S38</v>
      </c>
      <c r="E131" s="29">
        <f t="shared" ca="1" si="14"/>
        <v>0</v>
      </c>
    </row>
    <row r="132" spans="2:5" x14ac:dyDescent="0.4">
      <c r="B132" s="23" t="s">
        <v>1228</v>
      </c>
      <c r="C132" s="29">
        <f>MATCH($B132, Backup_v02!$L:$L, 0)</f>
        <v>141</v>
      </c>
      <c r="D132" s="29" t="str">
        <f t="shared" ca="1" si="15"/>
        <v>LC_S38_nor</v>
      </c>
      <c r="E132" s="29">
        <f t="shared" ca="1" si="14"/>
        <v>1</v>
      </c>
    </row>
    <row r="133" spans="2:5" x14ac:dyDescent="0.4">
      <c r="B133" s="23" t="s">
        <v>620</v>
      </c>
      <c r="C133" s="29">
        <f>MATCH($B133, Backup_v02!$L:$L, 0)</f>
        <v>142</v>
      </c>
      <c r="D133" s="29" t="str">
        <f t="shared" ca="1" si="15"/>
        <v>LC_S39</v>
      </c>
      <c r="E133" s="29">
        <f t="shared" ca="1" si="14"/>
        <v>0</v>
      </c>
    </row>
    <row r="134" spans="2:5" x14ac:dyDescent="0.4">
      <c r="B134" s="23" t="s">
        <v>1236</v>
      </c>
      <c r="C134" s="29">
        <f>MATCH($B134, Backup_v02!$L:$L, 0)</f>
        <v>143</v>
      </c>
      <c r="D134" s="29" t="str">
        <f t="shared" ca="1" si="15"/>
        <v>LC_S39_nor</v>
      </c>
      <c r="E134" s="29">
        <f t="shared" ca="1" si="14"/>
        <v>1</v>
      </c>
    </row>
    <row r="135" spans="2:5" x14ac:dyDescent="0.4">
      <c r="B135" s="23" t="s">
        <v>972</v>
      </c>
      <c r="C135" s="29">
        <f>MATCH($B135, Backup_v02!$L:$L, 0)</f>
        <v>73</v>
      </c>
      <c r="D135" s="29" t="str">
        <f t="shared" ref="D135:D166" ca="1" si="16">INDIRECT($B$2&amp;"!"&amp;ADDRESS($C135, C$2))</f>
        <v>LC_S4_nor</v>
      </c>
      <c r="E135" s="29">
        <f t="shared" ca="1" si="14"/>
        <v>1</v>
      </c>
    </row>
    <row r="136" spans="2:5" x14ac:dyDescent="0.4">
      <c r="B136" s="23" t="s">
        <v>628</v>
      </c>
      <c r="C136" s="29">
        <f>MATCH($B136, Backup_v02!$L:$L, 0)</f>
        <v>144</v>
      </c>
      <c r="D136" s="29" t="str">
        <f t="shared" ca="1" si="16"/>
        <v>LC_S40</v>
      </c>
      <c r="E136" s="29">
        <f t="shared" ref="E136:E174" ca="1" si="17">IF(ISERROR(SEARCH(E$6, $D136)), 0, 1)</f>
        <v>0</v>
      </c>
    </row>
    <row r="137" spans="2:5" x14ac:dyDescent="0.4">
      <c r="B137" s="23" t="s">
        <v>1244</v>
      </c>
      <c r="C137" s="29">
        <f>MATCH($B137, Backup_v02!$L:$L, 0)</f>
        <v>145</v>
      </c>
      <c r="D137" s="29" t="str">
        <f t="shared" ca="1" si="16"/>
        <v>LC_S40_nor</v>
      </c>
      <c r="E137" s="29">
        <f t="shared" ca="1" si="17"/>
        <v>1</v>
      </c>
    </row>
    <row r="138" spans="2:5" x14ac:dyDescent="0.4">
      <c r="B138" s="23" t="s">
        <v>636</v>
      </c>
      <c r="C138" s="29">
        <f>MATCH($B138, Backup_v02!$L:$L, 0)</f>
        <v>146</v>
      </c>
      <c r="D138" s="29" t="str">
        <f t="shared" ca="1" si="16"/>
        <v>LC_S41</v>
      </c>
      <c r="E138" s="29">
        <f t="shared" ca="1" si="17"/>
        <v>0</v>
      </c>
    </row>
    <row r="139" spans="2:5" x14ac:dyDescent="0.4">
      <c r="B139" s="23" t="s">
        <v>1252</v>
      </c>
      <c r="C139" s="29">
        <f>MATCH($B139, Backup_v02!$L:$L, 0)</f>
        <v>147</v>
      </c>
      <c r="D139" s="29" t="str">
        <f t="shared" ca="1" si="16"/>
        <v>LC_S41_nor</v>
      </c>
      <c r="E139" s="29">
        <f t="shared" ca="1" si="17"/>
        <v>1</v>
      </c>
    </row>
    <row r="140" spans="2:5" x14ac:dyDescent="0.4">
      <c r="B140" s="23" t="s">
        <v>644</v>
      </c>
      <c r="C140" s="29">
        <f>MATCH($B140, Backup_v02!$L:$L, 0)</f>
        <v>148</v>
      </c>
      <c r="D140" s="29" t="str">
        <f t="shared" ca="1" si="16"/>
        <v>LC_S42</v>
      </c>
      <c r="E140" s="29">
        <f t="shared" ca="1" si="17"/>
        <v>0</v>
      </c>
    </row>
    <row r="141" spans="2:5" x14ac:dyDescent="0.4">
      <c r="B141" s="23" t="s">
        <v>1260</v>
      </c>
      <c r="C141" s="29">
        <f>MATCH($B141, Backup_v02!$L:$L, 0)</f>
        <v>149</v>
      </c>
      <c r="D141" s="29" t="str">
        <f t="shared" ca="1" si="16"/>
        <v>LC_S42_nor</v>
      </c>
      <c r="E141" s="29">
        <f t="shared" ca="1" si="17"/>
        <v>1</v>
      </c>
    </row>
    <row r="142" spans="2:5" x14ac:dyDescent="0.4">
      <c r="B142" s="23" t="s">
        <v>652</v>
      </c>
      <c r="C142" s="29">
        <f>MATCH($B142, Backup_v02!$L:$L, 0)</f>
        <v>150</v>
      </c>
      <c r="D142" s="29" t="str">
        <f t="shared" ca="1" si="16"/>
        <v>LC_S43</v>
      </c>
      <c r="E142" s="29">
        <f t="shared" ca="1" si="17"/>
        <v>0</v>
      </c>
    </row>
    <row r="143" spans="2:5" x14ac:dyDescent="0.4">
      <c r="B143" s="23" t="s">
        <v>1268</v>
      </c>
      <c r="C143" s="29">
        <f>MATCH($B143, Backup_v02!$L:$L, 0)</f>
        <v>151</v>
      </c>
      <c r="D143" s="29" t="str">
        <f t="shared" ca="1" si="16"/>
        <v>LC_S43_nor</v>
      </c>
      <c r="E143" s="29">
        <f t="shared" ca="1" si="17"/>
        <v>1</v>
      </c>
    </row>
    <row r="144" spans="2:5" x14ac:dyDescent="0.4">
      <c r="B144" s="23" t="s">
        <v>660</v>
      </c>
      <c r="C144" s="29">
        <f>MATCH($B144, Backup_v02!$L:$L, 0)</f>
        <v>152</v>
      </c>
      <c r="D144" s="29" t="str">
        <f t="shared" ca="1" si="16"/>
        <v>LC_S44</v>
      </c>
      <c r="E144" s="29">
        <f t="shared" ca="1" si="17"/>
        <v>0</v>
      </c>
    </row>
    <row r="145" spans="2:5" x14ac:dyDescent="0.4">
      <c r="B145" s="23" t="s">
        <v>1276</v>
      </c>
      <c r="C145" s="29">
        <f>MATCH($B145, Backup_v02!$L:$L, 0)</f>
        <v>153</v>
      </c>
      <c r="D145" s="29" t="str">
        <f t="shared" ca="1" si="16"/>
        <v>LC_S44_nor</v>
      </c>
      <c r="E145" s="29">
        <f t="shared" ca="1" si="17"/>
        <v>1</v>
      </c>
    </row>
    <row r="146" spans="2:5" x14ac:dyDescent="0.4">
      <c r="B146" s="23" t="s">
        <v>668</v>
      </c>
      <c r="C146" s="29">
        <f>MATCH($B146, Backup_v02!$L:$L, 0)</f>
        <v>154</v>
      </c>
      <c r="D146" s="29" t="str">
        <f t="shared" ca="1" si="16"/>
        <v>LC_S45</v>
      </c>
      <c r="E146" s="29">
        <f t="shared" ca="1" si="17"/>
        <v>0</v>
      </c>
    </row>
    <row r="147" spans="2:5" x14ac:dyDescent="0.4">
      <c r="B147" s="23" t="s">
        <v>1284</v>
      </c>
      <c r="C147" s="29">
        <f>MATCH($B147, Backup_v02!$L:$L, 0)</f>
        <v>155</v>
      </c>
      <c r="D147" s="29" t="str">
        <f t="shared" ca="1" si="16"/>
        <v>LC_S45_nor</v>
      </c>
      <c r="E147" s="29">
        <f t="shared" ca="1" si="17"/>
        <v>1</v>
      </c>
    </row>
    <row r="148" spans="2:5" x14ac:dyDescent="0.4">
      <c r="B148" s="23" t="s">
        <v>676</v>
      </c>
      <c r="C148" s="29">
        <f>MATCH($B148, Backup_v02!$L:$L, 0)</f>
        <v>156</v>
      </c>
      <c r="D148" s="29" t="str">
        <f t="shared" ca="1" si="16"/>
        <v>LC_S46</v>
      </c>
      <c r="E148" s="29">
        <f t="shared" ca="1" si="17"/>
        <v>0</v>
      </c>
    </row>
    <row r="149" spans="2:5" x14ac:dyDescent="0.4">
      <c r="B149" s="23" t="s">
        <v>1292</v>
      </c>
      <c r="C149" s="29">
        <f>MATCH($B149, Backup_v02!$L:$L, 0)</f>
        <v>157</v>
      </c>
      <c r="D149" s="29" t="str">
        <f t="shared" ca="1" si="16"/>
        <v>LC_S46_nor</v>
      </c>
      <c r="E149" s="29">
        <f t="shared" ca="1" si="17"/>
        <v>1</v>
      </c>
    </row>
    <row r="150" spans="2:5" x14ac:dyDescent="0.4">
      <c r="B150" s="23" t="s">
        <v>684</v>
      </c>
      <c r="C150" s="29">
        <f>MATCH($B150, Backup_v02!$L:$L, 0)</f>
        <v>158</v>
      </c>
      <c r="D150" s="29" t="str">
        <f t="shared" ca="1" si="16"/>
        <v>LC_S47</v>
      </c>
      <c r="E150" s="29">
        <f t="shared" ca="1" si="17"/>
        <v>0</v>
      </c>
    </row>
    <row r="151" spans="2:5" x14ac:dyDescent="0.4">
      <c r="B151" s="23" t="s">
        <v>1300</v>
      </c>
      <c r="C151" s="29">
        <f>MATCH($B151, Backup_v02!$L:$L, 0)</f>
        <v>159</v>
      </c>
      <c r="D151" s="29" t="str">
        <f t="shared" ca="1" si="16"/>
        <v>LC_S47_nor</v>
      </c>
      <c r="E151" s="29">
        <f t="shared" ca="1" si="17"/>
        <v>1</v>
      </c>
    </row>
    <row r="152" spans="2:5" x14ac:dyDescent="0.4">
      <c r="B152" s="23" t="s">
        <v>692</v>
      </c>
      <c r="C152" s="29">
        <f>MATCH($B152, Backup_v02!$L:$L, 0)</f>
        <v>160</v>
      </c>
      <c r="D152" s="29" t="str">
        <f t="shared" ca="1" si="16"/>
        <v>LC_S48</v>
      </c>
      <c r="E152" s="29">
        <f t="shared" ca="1" si="17"/>
        <v>0</v>
      </c>
    </row>
    <row r="153" spans="2:5" x14ac:dyDescent="0.4">
      <c r="B153" s="23" t="s">
        <v>1308</v>
      </c>
      <c r="C153" s="29">
        <f>MATCH($B153, Backup_v02!$L:$L, 0)</f>
        <v>161</v>
      </c>
      <c r="D153" s="29" t="str">
        <f t="shared" ca="1" si="16"/>
        <v>LC_S48_nor</v>
      </c>
      <c r="E153" s="29">
        <f t="shared" ca="1" si="17"/>
        <v>1</v>
      </c>
    </row>
    <row r="154" spans="2:5" x14ac:dyDescent="0.4">
      <c r="B154" s="23" t="s">
        <v>700</v>
      </c>
      <c r="C154" s="29">
        <f>MATCH($B154, Backup_v02!$L:$L, 0)</f>
        <v>162</v>
      </c>
      <c r="D154" s="29" t="str">
        <f t="shared" ca="1" si="16"/>
        <v>LC_S49</v>
      </c>
      <c r="E154" s="29">
        <f t="shared" ca="1" si="17"/>
        <v>0</v>
      </c>
    </row>
    <row r="155" spans="2:5" x14ac:dyDescent="0.4">
      <c r="B155" s="23" t="s">
        <v>1316</v>
      </c>
      <c r="C155" s="29">
        <f>MATCH($B155, Backup_v02!$L:$L, 0)</f>
        <v>163</v>
      </c>
      <c r="D155" s="29" t="str">
        <f t="shared" ca="1" si="16"/>
        <v>LC_S49_nor</v>
      </c>
      <c r="E155" s="29">
        <f t="shared" ca="1" si="17"/>
        <v>1</v>
      </c>
    </row>
    <row r="156" spans="2:5" x14ac:dyDescent="0.4">
      <c r="B156" s="23" t="s">
        <v>980</v>
      </c>
      <c r="C156" s="29">
        <f>MATCH($B156, Backup_v02!$L:$L, 0)</f>
        <v>75</v>
      </c>
      <c r="D156" s="29" t="str">
        <f t="shared" ca="1" si="16"/>
        <v>LC_S5_nor</v>
      </c>
      <c r="E156" s="29">
        <f t="shared" ca="1" si="17"/>
        <v>1</v>
      </c>
    </row>
    <row r="157" spans="2:5" x14ac:dyDescent="0.4">
      <c r="B157" s="23" t="s">
        <v>708</v>
      </c>
      <c r="C157" s="29">
        <f>MATCH($B157, Backup_v02!$L:$L, 0)</f>
        <v>164</v>
      </c>
      <c r="D157" s="29" t="str">
        <f t="shared" ca="1" si="16"/>
        <v>LC_S50</v>
      </c>
      <c r="E157" s="29">
        <f t="shared" ca="1" si="17"/>
        <v>0</v>
      </c>
    </row>
    <row r="158" spans="2:5" x14ac:dyDescent="0.4">
      <c r="B158" s="23" t="s">
        <v>1324</v>
      </c>
      <c r="C158" s="29">
        <f>MATCH($B158, Backup_v02!$L:$L, 0)</f>
        <v>165</v>
      </c>
      <c r="D158" s="29" t="str">
        <f t="shared" ca="1" si="16"/>
        <v>LC_S50_nor</v>
      </c>
      <c r="E158" s="29">
        <f t="shared" ca="1" si="17"/>
        <v>1</v>
      </c>
    </row>
    <row r="159" spans="2:5" x14ac:dyDescent="0.4">
      <c r="B159" s="23" t="s">
        <v>716</v>
      </c>
      <c r="C159" s="29">
        <f>MATCH($B159, Backup_v02!$L:$L, 0)</f>
        <v>166</v>
      </c>
      <c r="D159" s="29" t="str">
        <f t="shared" ca="1" si="16"/>
        <v>LC_S51</v>
      </c>
      <c r="E159" s="29">
        <f t="shared" ca="1" si="17"/>
        <v>0</v>
      </c>
    </row>
    <row r="160" spans="2:5" x14ac:dyDescent="0.4">
      <c r="B160" s="23" t="s">
        <v>1332</v>
      </c>
      <c r="C160" s="29">
        <f>MATCH($B160, Backup_v02!$L:$L, 0)</f>
        <v>167</v>
      </c>
      <c r="D160" s="29" t="str">
        <f t="shared" ca="1" si="16"/>
        <v>LC_S51_nor</v>
      </c>
      <c r="E160" s="29">
        <f t="shared" ca="1" si="17"/>
        <v>1</v>
      </c>
    </row>
    <row r="161" spans="2:5" x14ac:dyDescent="0.4">
      <c r="B161" s="23" t="s">
        <v>724</v>
      </c>
      <c r="C161" s="29">
        <f>MATCH($B161, Backup_v02!$L:$L, 0)</f>
        <v>168</v>
      </c>
      <c r="D161" s="29" t="str">
        <f t="shared" ca="1" si="16"/>
        <v>LC_S52</v>
      </c>
      <c r="E161" s="29">
        <f t="shared" ca="1" si="17"/>
        <v>0</v>
      </c>
    </row>
    <row r="162" spans="2:5" x14ac:dyDescent="0.4">
      <c r="B162" s="23" t="s">
        <v>1340</v>
      </c>
      <c r="C162" s="29">
        <f>MATCH($B162, Backup_v02!$L:$L, 0)</f>
        <v>169</v>
      </c>
      <c r="D162" s="29" t="str">
        <f t="shared" ca="1" si="16"/>
        <v>LC_S52_nor</v>
      </c>
      <c r="E162" s="29">
        <f t="shared" ca="1" si="17"/>
        <v>1</v>
      </c>
    </row>
    <row r="163" spans="2:5" x14ac:dyDescent="0.4">
      <c r="B163" s="23" t="s">
        <v>355</v>
      </c>
      <c r="C163" s="29">
        <f>MATCH($B163, Backup_v02!$L:$L, 0)</f>
        <v>76</v>
      </c>
      <c r="D163" s="29" t="str">
        <f t="shared" ca="1" si="16"/>
        <v>LC_S6</v>
      </c>
      <c r="E163" s="29">
        <f t="shared" ca="1" si="17"/>
        <v>0</v>
      </c>
    </row>
    <row r="164" spans="2:5" x14ac:dyDescent="0.4">
      <c r="B164" s="23" t="s">
        <v>358</v>
      </c>
      <c r="C164" s="29">
        <f>MATCH($B164, Backup_v02!$L:$L, 0)</f>
        <v>77</v>
      </c>
      <c r="D164" s="29" t="str">
        <f t="shared" ca="1" si="16"/>
        <v>LC_S6</v>
      </c>
      <c r="E164" s="29">
        <f t="shared" ca="1" si="17"/>
        <v>0</v>
      </c>
    </row>
    <row r="165" spans="2:5" x14ac:dyDescent="0.4">
      <c r="B165" s="23" t="s">
        <v>988</v>
      </c>
      <c r="C165" s="29">
        <f>MATCH($B165, Backup_v02!$L:$L, 0)</f>
        <v>78</v>
      </c>
      <c r="D165" s="29" t="str">
        <f t="shared" ca="1" si="16"/>
        <v>LC_S6_nor</v>
      </c>
      <c r="E165" s="29">
        <f t="shared" ca="1" si="17"/>
        <v>1</v>
      </c>
    </row>
    <row r="166" spans="2:5" x14ac:dyDescent="0.4">
      <c r="B166" s="23" t="s">
        <v>366</v>
      </c>
      <c r="C166" s="29">
        <f>MATCH($B166, Backup_v02!$L:$L, 0)</f>
        <v>79</v>
      </c>
      <c r="D166" s="29" t="str">
        <f t="shared" ca="1" si="16"/>
        <v>LC_S8</v>
      </c>
      <c r="E166" s="29">
        <f t="shared" ca="1" si="17"/>
        <v>0</v>
      </c>
    </row>
    <row r="167" spans="2:5" x14ac:dyDescent="0.4">
      <c r="B167" s="23" t="s">
        <v>996</v>
      </c>
      <c r="C167" s="29">
        <f>MATCH($B167, Backup_v02!$L:$L, 0)</f>
        <v>80</v>
      </c>
      <c r="D167" s="29" t="str">
        <f t="shared" ref="D167:D169" ca="1" si="18">INDIRECT($B$2&amp;"!"&amp;ADDRESS($C167, C$2))</f>
        <v>LC_S8_nor</v>
      </c>
      <c r="E167" s="29">
        <f t="shared" ca="1" si="17"/>
        <v>1</v>
      </c>
    </row>
    <row r="168" spans="2:5" x14ac:dyDescent="0.4">
      <c r="B168" s="23" t="s">
        <v>374</v>
      </c>
      <c r="C168" s="29">
        <f>MATCH($B168, Backup_v02!$L:$L, 0)</f>
        <v>81</v>
      </c>
      <c r="D168" s="29" t="str">
        <f t="shared" ca="1" si="18"/>
        <v>LC_S9</v>
      </c>
      <c r="E168" s="29">
        <f t="shared" ca="1" si="17"/>
        <v>0</v>
      </c>
    </row>
    <row r="169" spans="2:5" x14ac:dyDescent="0.4">
      <c r="B169" s="23" t="s">
        <v>1004</v>
      </c>
      <c r="C169" s="29">
        <f>MATCH($B169, Backup_v02!$L:$L, 0)</f>
        <v>82</v>
      </c>
      <c r="D169" s="29" t="str">
        <f t="shared" ca="1" si="18"/>
        <v>LC_S9_nor</v>
      </c>
      <c r="E169" s="29">
        <f t="shared" ca="1" si="17"/>
        <v>1</v>
      </c>
    </row>
    <row r="170" spans="2:5" x14ac:dyDescent="0.4">
      <c r="B170" s="23" t="s">
        <v>1523</v>
      </c>
      <c r="C170" s="39">
        <f>MATCH($B170, Github!$J:$J, 0)</f>
        <v>4</v>
      </c>
      <c r="D170" s="39" t="str">
        <f ca="1">INDIRECT($B$3&amp;"!"&amp;ADDRESS($C170, C$3))</f>
        <v>LC_S1</v>
      </c>
      <c r="E170" s="29">
        <f t="shared" ca="1" si="17"/>
        <v>0</v>
      </c>
    </row>
    <row r="171" spans="2:5" x14ac:dyDescent="0.4">
      <c r="B171" s="23" t="s">
        <v>1521</v>
      </c>
      <c r="C171" s="39">
        <f>MATCH($B171, Github!$J:$J, 0)</f>
        <v>5</v>
      </c>
      <c r="D171" s="39" t="str">
        <f ca="1">INDIRECT($B$3&amp;"!"&amp;ADDRESS($C171, C$3))</f>
        <v>LC_S2</v>
      </c>
      <c r="E171" s="29">
        <f t="shared" ca="1" si="17"/>
        <v>0</v>
      </c>
    </row>
    <row r="172" spans="2:5" x14ac:dyDescent="0.4">
      <c r="B172" s="23" t="s">
        <v>1517</v>
      </c>
      <c r="C172" s="39">
        <f>MATCH($B172, Github!$J:$J, 0)</f>
        <v>8</v>
      </c>
      <c r="D172" s="39" t="str">
        <f ca="1">INDIRECT($B$3&amp;"!"&amp;ADDRESS($C172, C$3))</f>
        <v>LC_S3</v>
      </c>
      <c r="E172" s="29">
        <f t="shared" ca="1" si="17"/>
        <v>0</v>
      </c>
    </row>
    <row r="173" spans="2:5" x14ac:dyDescent="0.4">
      <c r="B173" s="23" t="s">
        <v>1515</v>
      </c>
      <c r="C173" s="39">
        <f>MATCH($B173, Github!$J:$J, 0)</f>
        <v>9</v>
      </c>
      <c r="D173" s="39" t="str">
        <f ca="1">INDIRECT($B$3&amp;"!"&amp;ADDRESS($C173, C$3))</f>
        <v>LC_S4</v>
      </c>
      <c r="E173" s="29">
        <f t="shared" ca="1" si="17"/>
        <v>0</v>
      </c>
    </row>
    <row r="174" spans="2:5" x14ac:dyDescent="0.4">
      <c r="B174" s="27" t="s">
        <v>1511</v>
      </c>
      <c r="C174" s="40">
        <f>MATCH($B174, Github!$J:$J, 0)</f>
        <v>12</v>
      </c>
      <c r="D174" s="40" t="str">
        <f ca="1">INDIRECT($B$3&amp;"!"&amp;ADDRESS($C174, C$3))</f>
        <v>LC_S5</v>
      </c>
      <c r="E174" s="28">
        <f t="shared" ca="1" si="17"/>
        <v>0</v>
      </c>
    </row>
    <row r="175" spans="2:5" x14ac:dyDescent="0.4">
      <c r="C175" s="41"/>
      <c r="D175" s="41"/>
    </row>
    <row r="176" spans="2:5" x14ac:dyDescent="0.4">
      <c r="B176" s="36" t="s">
        <v>1528</v>
      </c>
      <c r="C176" s="41">
        <f>MATCH($B176, Github!$J:$J, 0)</f>
        <v>2</v>
      </c>
      <c r="D176" s="41" t="str">
        <f ca="1">INDIRECT($B$3&amp;"!"&amp;ADDRESS($C176, C$3))</f>
        <v>AK55_LungCancer(LivMets)</v>
      </c>
      <c r="E176" s="6">
        <f t="shared" ref="E176" ca="1" si="19">IF(ISERROR(SEARCH(E$6, $D176)), 0, 1)</f>
        <v>0</v>
      </c>
    </row>
  </sheetData>
  <sortState xmlns:xlrd2="http://schemas.microsoft.com/office/spreadsheetml/2017/richdata2" ref="P46:P53">
    <sortCondition ref="P46:P53"/>
  </sortState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69"/>
  <sheetViews>
    <sheetView workbookViewId="0"/>
  </sheetViews>
  <sheetFormatPr defaultRowHeight="14.4" x14ac:dyDescent="0.55000000000000004"/>
  <cols>
    <col min="1" max="1" width="18.26171875" bestFit="1" customWidth="1"/>
    <col min="2" max="2" width="10.47265625" bestFit="1" customWidth="1"/>
    <col min="3" max="3" width="54.68359375" bestFit="1" customWidth="1"/>
    <col min="4" max="4" width="14.20703125" bestFit="1" customWidth="1"/>
    <col min="5" max="5" width="6.15625" bestFit="1" customWidth="1"/>
    <col min="6" max="6" width="12.9453125" bestFit="1" customWidth="1"/>
    <col min="7" max="7" width="4.83984375" bestFit="1" customWidth="1"/>
    <col min="8" max="8" width="10.26171875" bestFit="1" customWidth="1"/>
    <col min="9" max="9" width="13.47265625" bestFit="1" customWidth="1"/>
    <col min="10" max="10" width="14.83984375" bestFit="1" customWidth="1"/>
    <col min="11" max="11" width="24" bestFit="1" customWidth="1"/>
    <col min="12" max="12" width="11.83984375" bestFit="1" customWidth="1"/>
    <col min="13" max="13" width="114.7890625" bestFit="1" customWidth="1"/>
  </cols>
  <sheetData>
    <row r="1" spans="1:13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55000000000000004">
      <c r="A2" t="s">
        <v>13</v>
      </c>
      <c r="B2" t="s">
        <v>14</v>
      </c>
      <c r="C2" t="s">
        <v>15</v>
      </c>
      <c r="D2">
        <v>54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</row>
    <row r="3" spans="1:13" x14ac:dyDescent="0.55000000000000004">
      <c r="A3" t="s">
        <v>726</v>
      </c>
      <c r="B3" t="s">
        <v>727</v>
      </c>
      <c r="C3" t="s">
        <v>728</v>
      </c>
      <c r="D3">
        <v>54</v>
      </c>
      <c r="E3" t="s">
        <v>16</v>
      </c>
      <c r="F3" t="s">
        <v>17</v>
      </c>
      <c r="G3" t="s">
        <v>57</v>
      </c>
      <c r="H3" t="s">
        <v>729</v>
      </c>
      <c r="I3" t="s">
        <v>20</v>
      </c>
      <c r="J3" t="s">
        <v>730</v>
      </c>
      <c r="K3" t="s">
        <v>731</v>
      </c>
      <c r="L3" t="s">
        <v>732</v>
      </c>
      <c r="M3" t="s">
        <v>733</v>
      </c>
    </row>
    <row r="4" spans="1:13" x14ac:dyDescent="0.55000000000000004">
      <c r="A4" t="s">
        <v>25</v>
      </c>
      <c r="B4" t="s">
        <v>26</v>
      </c>
      <c r="C4" t="s">
        <v>27</v>
      </c>
      <c r="D4">
        <v>51</v>
      </c>
      <c r="E4" t="s">
        <v>16</v>
      </c>
      <c r="F4" t="s">
        <v>28</v>
      </c>
      <c r="G4" t="s">
        <v>29</v>
      </c>
      <c r="H4" t="s">
        <v>30</v>
      </c>
      <c r="I4" t="s">
        <v>20</v>
      </c>
      <c r="J4" t="s">
        <v>31</v>
      </c>
      <c r="K4" t="s">
        <v>32</v>
      </c>
      <c r="L4" t="s">
        <v>33</v>
      </c>
      <c r="M4" t="s">
        <v>34</v>
      </c>
    </row>
    <row r="5" spans="1:13" x14ac:dyDescent="0.55000000000000004">
      <c r="A5" t="s">
        <v>734</v>
      </c>
      <c r="B5" t="s">
        <v>735</v>
      </c>
      <c r="C5" t="s">
        <v>736</v>
      </c>
      <c r="D5">
        <v>51</v>
      </c>
      <c r="E5" t="s">
        <v>16</v>
      </c>
      <c r="F5" t="s">
        <v>28</v>
      </c>
      <c r="G5" t="s">
        <v>57</v>
      </c>
      <c r="H5" t="s">
        <v>737</v>
      </c>
      <c r="I5" t="s">
        <v>20</v>
      </c>
      <c r="J5" t="s">
        <v>738</v>
      </c>
      <c r="K5" t="s">
        <v>739</v>
      </c>
      <c r="L5" t="s">
        <v>740</v>
      </c>
      <c r="M5" t="s">
        <v>741</v>
      </c>
    </row>
    <row r="6" spans="1:13" x14ac:dyDescent="0.55000000000000004">
      <c r="A6" t="s">
        <v>35</v>
      </c>
      <c r="B6" t="s">
        <v>36</v>
      </c>
      <c r="C6" t="s">
        <v>37</v>
      </c>
      <c r="D6">
        <v>65</v>
      </c>
      <c r="E6" t="s">
        <v>38</v>
      </c>
      <c r="F6" t="s">
        <v>39</v>
      </c>
      <c r="G6" t="s">
        <v>18</v>
      </c>
      <c r="H6" t="s">
        <v>40</v>
      </c>
      <c r="I6" t="s">
        <v>20</v>
      </c>
      <c r="J6" t="s">
        <v>41</v>
      </c>
      <c r="K6" t="s">
        <v>42</v>
      </c>
      <c r="L6" t="s">
        <v>43</v>
      </c>
      <c r="M6" t="s">
        <v>44</v>
      </c>
    </row>
    <row r="7" spans="1:13" x14ac:dyDescent="0.55000000000000004">
      <c r="A7" t="s">
        <v>742</v>
      </c>
      <c r="B7" t="s">
        <v>743</v>
      </c>
      <c r="C7" t="s">
        <v>744</v>
      </c>
      <c r="D7">
        <v>65</v>
      </c>
      <c r="E7" t="s">
        <v>38</v>
      </c>
      <c r="F7" t="s">
        <v>39</v>
      </c>
      <c r="G7" t="s">
        <v>57</v>
      </c>
      <c r="H7" t="s">
        <v>745</v>
      </c>
      <c r="I7" t="s">
        <v>20</v>
      </c>
      <c r="J7" t="s">
        <v>746</v>
      </c>
      <c r="K7" t="s">
        <v>747</v>
      </c>
      <c r="L7" t="s">
        <v>748</v>
      </c>
      <c r="M7" t="s">
        <v>749</v>
      </c>
    </row>
    <row r="8" spans="1:13" x14ac:dyDescent="0.55000000000000004">
      <c r="A8" t="s">
        <v>45</v>
      </c>
      <c r="B8" t="s">
        <v>46</v>
      </c>
      <c r="C8" t="s">
        <v>47</v>
      </c>
      <c r="D8">
        <v>52</v>
      </c>
      <c r="E8" t="s">
        <v>16</v>
      </c>
      <c r="F8" t="s">
        <v>39</v>
      </c>
      <c r="G8" t="s">
        <v>48</v>
      </c>
      <c r="H8" t="s">
        <v>49</v>
      </c>
      <c r="I8" t="s">
        <v>20</v>
      </c>
      <c r="J8" t="s">
        <v>50</v>
      </c>
      <c r="K8" t="s">
        <v>51</v>
      </c>
      <c r="L8" t="s">
        <v>52</v>
      </c>
      <c r="M8" t="s">
        <v>53</v>
      </c>
    </row>
    <row r="9" spans="1:13" x14ac:dyDescent="0.55000000000000004">
      <c r="A9" t="s">
        <v>54</v>
      </c>
      <c r="B9" t="s">
        <v>55</v>
      </c>
      <c r="C9" t="s">
        <v>56</v>
      </c>
      <c r="D9">
        <v>68</v>
      </c>
      <c r="E9" t="s">
        <v>16</v>
      </c>
      <c r="F9" t="s">
        <v>57</v>
      </c>
      <c r="G9" t="s">
        <v>58</v>
      </c>
      <c r="H9" t="s">
        <v>59</v>
      </c>
      <c r="I9" t="s">
        <v>20</v>
      </c>
      <c r="J9" t="s">
        <v>60</v>
      </c>
      <c r="K9" t="s">
        <v>61</v>
      </c>
      <c r="L9" t="s">
        <v>62</v>
      </c>
      <c r="M9" t="s">
        <v>63</v>
      </c>
    </row>
    <row r="10" spans="1:13" x14ac:dyDescent="0.55000000000000004">
      <c r="A10" t="s">
        <v>750</v>
      </c>
      <c r="B10" t="s">
        <v>751</v>
      </c>
      <c r="C10" t="s">
        <v>752</v>
      </c>
      <c r="D10">
        <v>68</v>
      </c>
      <c r="E10" t="s">
        <v>16</v>
      </c>
      <c r="F10" t="s">
        <v>57</v>
      </c>
      <c r="G10" t="s">
        <v>57</v>
      </c>
      <c r="H10" t="s">
        <v>753</v>
      </c>
      <c r="I10" t="s">
        <v>20</v>
      </c>
      <c r="J10" t="s">
        <v>754</v>
      </c>
      <c r="K10" t="s">
        <v>755</v>
      </c>
      <c r="L10" t="s">
        <v>756</v>
      </c>
      <c r="M10" t="s">
        <v>757</v>
      </c>
    </row>
    <row r="11" spans="1:13" x14ac:dyDescent="0.55000000000000004">
      <c r="A11" t="s">
        <v>64</v>
      </c>
      <c r="B11" t="s">
        <v>65</v>
      </c>
      <c r="C11" t="s">
        <v>66</v>
      </c>
      <c r="D11">
        <v>38</v>
      </c>
      <c r="E11" t="s">
        <v>16</v>
      </c>
      <c r="F11" t="s">
        <v>28</v>
      </c>
      <c r="G11" t="s">
        <v>29</v>
      </c>
      <c r="H11" t="s">
        <v>67</v>
      </c>
      <c r="I11" t="s">
        <v>20</v>
      </c>
      <c r="J11" t="s">
        <v>68</v>
      </c>
      <c r="K11" t="s">
        <v>69</v>
      </c>
      <c r="L11" t="s">
        <v>70</v>
      </c>
      <c r="M11" t="s">
        <v>71</v>
      </c>
    </row>
    <row r="12" spans="1:13" x14ac:dyDescent="0.55000000000000004">
      <c r="A12" t="s">
        <v>72</v>
      </c>
      <c r="B12" t="s">
        <v>73</v>
      </c>
      <c r="C12" t="s">
        <v>74</v>
      </c>
      <c r="D12">
        <v>81</v>
      </c>
      <c r="E12" t="s">
        <v>16</v>
      </c>
      <c r="F12" t="s">
        <v>17</v>
      </c>
      <c r="G12" t="s">
        <v>18</v>
      </c>
      <c r="H12" t="s">
        <v>75</v>
      </c>
      <c r="I12" t="s">
        <v>20</v>
      </c>
      <c r="J12" t="s">
        <v>76</v>
      </c>
      <c r="K12" t="s">
        <v>77</v>
      </c>
      <c r="L12" t="s">
        <v>78</v>
      </c>
      <c r="M12" t="s">
        <v>79</v>
      </c>
    </row>
    <row r="13" spans="1:13" x14ac:dyDescent="0.55000000000000004">
      <c r="A13" t="s">
        <v>758</v>
      </c>
      <c r="B13" t="s">
        <v>759</v>
      </c>
      <c r="C13" t="s">
        <v>760</v>
      </c>
      <c r="D13">
        <v>81</v>
      </c>
      <c r="E13" t="s">
        <v>16</v>
      </c>
      <c r="F13" t="s">
        <v>17</v>
      </c>
      <c r="G13" t="s">
        <v>57</v>
      </c>
      <c r="H13" t="s">
        <v>761</v>
      </c>
      <c r="I13" t="s">
        <v>20</v>
      </c>
      <c r="J13" t="s">
        <v>762</v>
      </c>
      <c r="K13" t="s">
        <v>763</v>
      </c>
      <c r="L13" t="s">
        <v>764</v>
      </c>
      <c r="M13" t="s">
        <v>765</v>
      </c>
    </row>
    <row r="14" spans="1:13" x14ac:dyDescent="0.55000000000000004">
      <c r="A14" t="s">
        <v>80</v>
      </c>
      <c r="B14" t="s">
        <v>81</v>
      </c>
      <c r="C14" t="s">
        <v>82</v>
      </c>
      <c r="D14">
        <v>85</v>
      </c>
      <c r="E14" t="s">
        <v>16</v>
      </c>
      <c r="F14" t="s">
        <v>17</v>
      </c>
      <c r="G14" t="s">
        <v>83</v>
      </c>
      <c r="H14" t="s">
        <v>84</v>
      </c>
      <c r="I14" t="s">
        <v>20</v>
      </c>
      <c r="J14" t="s">
        <v>85</v>
      </c>
      <c r="K14" t="s">
        <v>86</v>
      </c>
      <c r="L14" t="s">
        <v>87</v>
      </c>
      <c r="M14" t="s">
        <v>88</v>
      </c>
    </row>
    <row r="15" spans="1:13" x14ac:dyDescent="0.55000000000000004">
      <c r="A15" t="s">
        <v>89</v>
      </c>
      <c r="B15" t="s">
        <v>90</v>
      </c>
      <c r="C15" t="s">
        <v>91</v>
      </c>
      <c r="D15">
        <v>71</v>
      </c>
      <c r="E15" t="s">
        <v>16</v>
      </c>
      <c r="F15" t="s">
        <v>17</v>
      </c>
      <c r="G15" t="s">
        <v>83</v>
      </c>
      <c r="H15" t="s">
        <v>92</v>
      </c>
      <c r="I15" t="s">
        <v>20</v>
      </c>
      <c r="J15" t="s">
        <v>93</v>
      </c>
      <c r="K15" t="s">
        <v>94</v>
      </c>
      <c r="L15" t="s">
        <v>95</v>
      </c>
      <c r="M15" t="s">
        <v>96</v>
      </c>
    </row>
    <row r="16" spans="1:13" x14ac:dyDescent="0.55000000000000004">
      <c r="A16" t="s">
        <v>766</v>
      </c>
      <c r="B16" t="s">
        <v>767</v>
      </c>
      <c r="C16" t="s">
        <v>768</v>
      </c>
      <c r="D16">
        <v>71</v>
      </c>
      <c r="E16" t="s">
        <v>16</v>
      </c>
      <c r="F16" t="s">
        <v>17</v>
      </c>
      <c r="G16" t="s">
        <v>57</v>
      </c>
      <c r="H16" t="s">
        <v>769</v>
      </c>
      <c r="I16" t="s">
        <v>20</v>
      </c>
      <c r="J16" t="s">
        <v>770</v>
      </c>
      <c r="K16" t="s">
        <v>771</v>
      </c>
      <c r="L16" t="s">
        <v>772</v>
      </c>
      <c r="M16" t="s">
        <v>773</v>
      </c>
    </row>
    <row r="17" spans="1:13" x14ac:dyDescent="0.55000000000000004">
      <c r="A17" t="s">
        <v>97</v>
      </c>
      <c r="B17" t="s">
        <v>98</v>
      </c>
      <c r="C17" t="s">
        <v>99</v>
      </c>
      <c r="D17">
        <v>58</v>
      </c>
      <c r="E17" t="s">
        <v>38</v>
      </c>
      <c r="F17" t="s">
        <v>39</v>
      </c>
      <c r="G17" t="s">
        <v>100</v>
      </c>
      <c r="H17" t="s">
        <v>101</v>
      </c>
      <c r="I17" t="s">
        <v>20</v>
      </c>
      <c r="J17" t="s">
        <v>102</v>
      </c>
      <c r="K17" t="s">
        <v>103</v>
      </c>
      <c r="L17" t="s">
        <v>104</v>
      </c>
      <c r="M17" t="s">
        <v>105</v>
      </c>
    </row>
    <row r="18" spans="1:13" x14ac:dyDescent="0.55000000000000004">
      <c r="A18" t="s">
        <v>774</v>
      </c>
      <c r="B18" t="s">
        <v>775</v>
      </c>
      <c r="C18" t="s">
        <v>776</v>
      </c>
      <c r="D18">
        <v>58</v>
      </c>
      <c r="E18" t="s">
        <v>38</v>
      </c>
      <c r="F18" t="s">
        <v>39</v>
      </c>
      <c r="G18" t="s">
        <v>57</v>
      </c>
      <c r="H18" t="s">
        <v>777</v>
      </c>
      <c r="I18" t="s">
        <v>20</v>
      </c>
      <c r="J18" t="s">
        <v>778</v>
      </c>
      <c r="K18" t="s">
        <v>779</v>
      </c>
      <c r="L18" t="s">
        <v>780</v>
      </c>
      <c r="M18" t="s">
        <v>781</v>
      </c>
    </row>
    <row r="19" spans="1:13" x14ac:dyDescent="0.55000000000000004">
      <c r="A19" t="s">
        <v>106</v>
      </c>
      <c r="B19" t="s">
        <v>107</v>
      </c>
      <c r="C19" t="s">
        <v>108</v>
      </c>
      <c r="D19">
        <v>63</v>
      </c>
      <c r="E19" t="s">
        <v>38</v>
      </c>
      <c r="F19" t="s">
        <v>39</v>
      </c>
      <c r="G19" t="s">
        <v>18</v>
      </c>
      <c r="H19" t="s">
        <v>109</v>
      </c>
      <c r="I19" t="s">
        <v>20</v>
      </c>
      <c r="J19" t="s">
        <v>110</v>
      </c>
      <c r="K19" t="s">
        <v>111</v>
      </c>
      <c r="L19" t="s">
        <v>112</v>
      </c>
      <c r="M19" t="s">
        <v>113</v>
      </c>
    </row>
    <row r="20" spans="1:13" x14ac:dyDescent="0.55000000000000004">
      <c r="A20" t="s">
        <v>782</v>
      </c>
      <c r="B20" t="s">
        <v>783</v>
      </c>
      <c r="C20" t="s">
        <v>784</v>
      </c>
      <c r="D20">
        <v>63</v>
      </c>
      <c r="E20" t="s">
        <v>38</v>
      </c>
      <c r="F20" t="s">
        <v>39</v>
      </c>
      <c r="G20" t="s">
        <v>57</v>
      </c>
      <c r="H20" t="s">
        <v>785</v>
      </c>
      <c r="I20" t="s">
        <v>20</v>
      </c>
      <c r="J20" t="s">
        <v>786</v>
      </c>
      <c r="K20" t="s">
        <v>787</v>
      </c>
      <c r="L20" t="s">
        <v>788</v>
      </c>
      <c r="M20" t="s">
        <v>789</v>
      </c>
    </row>
    <row r="21" spans="1:13" x14ac:dyDescent="0.55000000000000004">
      <c r="A21" t="s">
        <v>114</v>
      </c>
      <c r="B21" t="s">
        <v>115</v>
      </c>
      <c r="C21" t="s">
        <v>116</v>
      </c>
      <c r="D21">
        <v>66</v>
      </c>
      <c r="E21" t="s">
        <v>16</v>
      </c>
      <c r="F21" t="s">
        <v>57</v>
      </c>
      <c r="G21" t="s">
        <v>83</v>
      </c>
      <c r="H21" t="s">
        <v>117</v>
      </c>
      <c r="I21" t="s">
        <v>20</v>
      </c>
      <c r="J21" t="s">
        <v>118</v>
      </c>
      <c r="K21" t="s">
        <v>119</v>
      </c>
      <c r="L21" t="s">
        <v>120</v>
      </c>
      <c r="M21" t="s">
        <v>121</v>
      </c>
    </row>
    <row r="22" spans="1:13" x14ac:dyDescent="0.55000000000000004">
      <c r="A22" t="s">
        <v>790</v>
      </c>
      <c r="B22" t="s">
        <v>791</v>
      </c>
      <c r="C22" t="s">
        <v>792</v>
      </c>
      <c r="D22">
        <v>66</v>
      </c>
      <c r="E22" t="s">
        <v>16</v>
      </c>
      <c r="F22" t="s">
        <v>57</v>
      </c>
      <c r="G22" t="s">
        <v>57</v>
      </c>
      <c r="H22" t="s">
        <v>793</v>
      </c>
      <c r="I22" t="s">
        <v>20</v>
      </c>
      <c r="J22" t="s">
        <v>794</v>
      </c>
      <c r="K22" t="s">
        <v>795</v>
      </c>
      <c r="L22" t="s">
        <v>796</v>
      </c>
      <c r="M22" t="s">
        <v>797</v>
      </c>
    </row>
    <row r="23" spans="1:13" x14ac:dyDescent="0.55000000000000004">
      <c r="A23" t="s">
        <v>122</v>
      </c>
      <c r="B23" t="s">
        <v>123</v>
      </c>
      <c r="C23" t="s">
        <v>124</v>
      </c>
      <c r="D23">
        <v>72</v>
      </c>
      <c r="E23" t="s">
        <v>16</v>
      </c>
      <c r="F23" t="s">
        <v>28</v>
      </c>
      <c r="G23" t="s">
        <v>29</v>
      </c>
      <c r="H23" t="s">
        <v>125</v>
      </c>
      <c r="I23" t="s">
        <v>20</v>
      </c>
      <c r="J23" t="s">
        <v>126</v>
      </c>
      <c r="K23" t="s">
        <v>127</v>
      </c>
      <c r="L23" t="s">
        <v>128</v>
      </c>
      <c r="M23" t="s">
        <v>129</v>
      </c>
    </row>
    <row r="24" spans="1:13" x14ac:dyDescent="0.55000000000000004">
      <c r="A24" t="s">
        <v>130</v>
      </c>
      <c r="B24" t="s">
        <v>131</v>
      </c>
      <c r="C24" t="s">
        <v>132</v>
      </c>
      <c r="D24">
        <v>50</v>
      </c>
      <c r="E24" t="s">
        <v>38</v>
      </c>
      <c r="F24" t="s">
        <v>28</v>
      </c>
      <c r="G24" t="s">
        <v>58</v>
      </c>
      <c r="H24" t="s">
        <v>133</v>
      </c>
      <c r="I24" t="s">
        <v>20</v>
      </c>
      <c r="J24" t="s">
        <v>134</v>
      </c>
      <c r="K24" t="s">
        <v>135</v>
      </c>
      <c r="L24" t="s">
        <v>136</v>
      </c>
      <c r="M24" t="s">
        <v>137</v>
      </c>
    </row>
    <row r="25" spans="1:13" x14ac:dyDescent="0.55000000000000004">
      <c r="A25" t="s">
        <v>798</v>
      </c>
      <c r="B25" t="s">
        <v>799</v>
      </c>
      <c r="C25" t="s">
        <v>800</v>
      </c>
      <c r="D25">
        <v>50</v>
      </c>
      <c r="E25" t="s">
        <v>38</v>
      </c>
      <c r="F25" t="s">
        <v>28</v>
      </c>
      <c r="G25" t="s">
        <v>57</v>
      </c>
      <c r="H25" t="s">
        <v>801</v>
      </c>
      <c r="I25" t="s">
        <v>20</v>
      </c>
      <c r="J25" t="s">
        <v>802</v>
      </c>
      <c r="K25" t="s">
        <v>803</v>
      </c>
      <c r="L25" t="s">
        <v>804</v>
      </c>
      <c r="M25" t="s">
        <v>805</v>
      </c>
    </row>
    <row r="26" spans="1:13" x14ac:dyDescent="0.55000000000000004">
      <c r="A26" t="s">
        <v>138</v>
      </c>
      <c r="B26" t="s">
        <v>139</v>
      </c>
      <c r="C26" t="s">
        <v>140</v>
      </c>
      <c r="D26">
        <v>60</v>
      </c>
      <c r="E26" t="s">
        <v>16</v>
      </c>
      <c r="F26" t="s">
        <v>28</v>
      </c>
      <c r="G26" t="s">
        <v>83</v>
      </c>
      <c r="H26" t="s">
        <v>141</v>
      </c>
      <c r="I26" t="s">
        <v>20</v>
      </c>
      <c r="J26" t="s">
        <v>142</v>
      </c>
      <c r="K26" t="s">
        <v>143</v>
      </c>
      <c r="L26" t="s">
        <v>144</v>
      </c>
      <c r="M26" t="s">
        <v>145</v>
      </c>
    </row>
    <row r="27" spans="1:13" x14ac:dyDescent="0.55000000000000004">
      <c r="A27" t="s">
        <v>146</v>
      </c>
      <c r="B27" t="s">
        <v>147</v>
      </c>
      <c r="C27" t="s">
        <v>148</v>
      </c>
      <c r="D27">
        <v>54</v>
      </c>
      <c r="E27" t="s">
        <v>38</v>
      </c>
      <c r="F27" t="s">
        <v>39</v>
      </c>
      <c r="G27" t="s">
        <v>18</v>
      </c>
      <c r="H27" t="s">
        <v>149</v>
      </c>
      <c r="I27" t="s">
        <v>20</v>
      </c>
      <c r="J27" t="s">
        <v>150</v>
      </c>
      <c r="K27" t="s">
        <v>151</v>
      </c>
      <c r="L27" t="s">
        <v>152</v>
      </c>
      <c r="M27" t="s">
        <v>153</v>
      </c>
    </row>
    <row r="28" spans="1:13" x14ac:dyDescent="0.55000000000000004">
      <c r="A28" t="s">
        <v>806</v>
      </c>
      <c r="B28" t="s">
        <v>807</v>
      </c>
      <c r="C28" t="s">
        <v>808</v>
      </c>
      <c r="D28">
        <v>54</v>
      </c>
      <c r="E28" t="s">
        <v>38</v>
      </c>
      <c r="F28" t="s">
        <v>39</v>
      </c>
      <c r="G28" t="s">
        <v>57</v>
      </c>
      <c r="H28" t="s">
        <v>809</v>
      </c>
      <c r="I28" t="s">
        <v>20</v>
      </c>
      <c r="J28" t="s">
        <v>810</v>
      </c>
      <c r="K28" t="s">
        <v>811</v>
      </c>
      <c r="L28" t="s">
        <v>812</v>
      </c>
      <c r="M28" t="s">
        <v>813</v>
      </c>
    </row>
    <row r="29" spans="1:13" x14ac:dyDescent="0.55000000000000004">
      <c r="A29" t="s">
        <v>154</v>
      </c>
      <c r="B29" t="s">
        <v>155</v>
      </c>
      <c r="C29" t="s">
        <v>156</v>
      </c>
      <c r="D29">
        <v>64</v>
      </c>
      <c r="E29" t="s">
        <v>38</v>
      </c>
      <c r="F29" t="s">
        <v>39</v>
      </c>
      <c r="G29" t="s">
        <v>18</v>
      </c>
      <c r="H29" t="s">
        <v>157</v>
      </c>
      <c r="I29" t="s">
        <v>20</v>
      </c>
      <c r="J29" t="s">
        <v>158</v>
      </c>
      <c r="K29" t="s">
        <v>159</v>
      </c>
      <c r="L29" t="s">
        <v>160</v>
      </c>
      <c r="M29" t="s">
        <v>161</v>
      </c>
    </row>
    <row r="30" spans="1:13" x14ac:dyDescent="0.55000000000000004">
      <c r="A30" t="s">
        <v>814</v>
      </c>
      <c r="B30" t="s">
        <v>815</v>
      </c>
      <c r="C30" t="s">
        <v>816</v>
      </c>
      <c r="D30">
        <v>64</v>
      </c>
      <c r="E30" t="s">
        <v>38</v>
      </c>
      <c r="F30" t="s">
        <v>39</v>
      </c>
      <c r="G30" t="s">
        <v>57</v>
      </c>
      <c r="H30" t="s">
        <v>817</v>
      </c>
      <c r="I30" t="s">
        <v>20</v>
      </c>
      <c r="J30" t="s">
        <v>818</v>
      </c>
      <c r="K30" t="s">
        <v>819</v>
      </c>
      <c r="L30" t="s">
        <v>820</v>
      </c>
      <c r="M30" t="s">
        <v>821</v>
      </c>
    </row>
    <row r="31" spans="1:13" x14ac:dyDescent="0.55000000000000004">
      <c r="A31" t="s">
        <v>162</v>
      </c>
      <c r="B31" t="s">
        <v>163</v>
      </c>
      <c r="C31" t="s">
        <v>164</v>
      </c>
      <c r="D31">
        <v>68</v>
      </c>
      <c r="E31" t="s">
        <v>38</v>
      </c>
      <c r="F31" t="s">
        <v>17</v>
      </c>
      <c r="G31" t="s">
        <v>83</v>
      </c>
      <c r="H31" t="s">
        <v>165</v>
      </c>
      <c r="I31" t="s">
        <v>20</v>
      </c>
      <c r="J31" t="s">
        <v>166</v>
      </c>
      <c r="K31" t="s">
        <v>167</v>
      </c>
      <c r="L31" t="s">
        <v>168</v>
      </c>
      <c r="M31" t="s">
        <v>169</v>
      </c>
    </row>
    <row r="32" spans="1:13" x14ac:dyDescent="0.55000000000000004">
      <c r="A32" t="s">
        <v>822</v>
      </c>
      <c r="B32" t="s">
        <v>823</v>
      </c>
      <c r="C32" t="s">
        <v>824</v>
      </c>
      <c r="D32">
        <v>68</v>
      </c>
      <c r="E32" t="s">
        <v>38</v>
      </c>
      <c r="F32" t="s">
        <v>17</v>
      </c>
      <c r="G32" t="s">
        <v>57</v>
      </c>
      <c r="H32" t="s">
        <v>825</v>
      </c>
      <c r="I32" t="s">
        <v>20</v>
      </c>
      <c r="J32" t="s">
        <v>826</v>
      </c>
      <c r="K32" t="s">
        <v>827</v>
      </c>
      <c r="L32" t="s">
        <v>828</v>
      </c>
      <c r="M32" t="s">
        <v>829</v>
      </c>
    </row>
    <row r="33" spans="1:13" x14ac:dyDescent="0.55000000000000004">
      <c r="A33" t="s">
        <v>170</v>
      </c>
      <c r="B33" t="s">
        <v>171</v>
      </c>
      <c r="C33" t="s">
        <v>172</v>
      </c>
      <c r="D33">
        <v>40</v>
      </c>
      <c r="E33" t="s">
        <v>38</v>
      </c>
      <c r="F33" t="s">
        <v>39</v>
      </c>
      <c r="G33">
        <v>4</v>
      </c>
      <c r="H33" t="s">
        <v>173</v>
      </c>
      <c r="I33" t="s">
        <v>20</v>
      </c>
      <c r="J33" t="s">
        <v>174</v>
      </c>
      <c r="K33" t="s">
        <v>175</v>
      </c>
      <c r="L33" t="s">
        <v>176</v>
      </c>
      <c r="M33" t="s">
        <v>177</v>
      </c>
    </row>
    <row r="34" spans="1:13" x14ac:dyDescent="0.55000000000000004">
      <c r="A34" t="s">
        <v>830</v>
      </c>
      <c r="B34" t="s">
        <v>831</v>
      </c>
      <c r="C34" t="s">
        <v>832</v>
      </c>
      <c r="D34">
        <v>40</v>
      </c>
      <c r="E34" t="s">
        <v>38</v>
      </c>
      <c r="F34" t="s">
        <v>39</v>
      </c>
      <c r="G34" t="s">
        <v>57</v>
      </c>
      <c r="H34" t="s">
        <v>833</v>
      </c>
      <c r="I34" t="s">
        <v>20</v>
      </c>
      <c r="J34" t="s">
        <v>834</v>
      </c>
      <c r="K34" t="s">
        <v>835</v>
      </c>
      <c r="L34" t="s">
        <v>836</v>
      </c>
      <c r="M34" t="s">
        <v>837</v>
      </c>
    </row>
    <row r="35" spans="1:13" x14ac:dyDescent="0.55000000000000004">
      <c r="A35" t="s">
        <v>178</v>
      </c>
      <c r="B35" t="s">
        <v>179</v>
      </c>
      <c r="C35" t="s">
        <v>180</v>
      </c>
      <c r="D35">
        <v>65</v>
      </c>
      <c r="E35" t="s">
        <v>16</v>
      </c>
      <c r="F35" t="s">
        <v>17</v>
      </c>
      <c r="G35" t="s">
        <v>18</v>
      </c>
      <c r="H35" t="s">
        <v>181</v>
      </c>
      <c r="I35" t="s">
        <v>20</v>
      </c>
      <c r="J35" t="s">
        <v>182</v>
      </c>
      <c r="K35" t="s">
        <v>183</v>
      </c>
      <c r="L35" t="s">
        <v>184</v>
      </c>
      <c r="M35" t="s">
        <v>185</v>
      </c>
    </row>
    <row r="36" spans="1:13" x14ac:dyDescent="0.55000000000000004">
      <c r="A36" t="s">
        <v>838</v>
      </c>
      <c r="B36" t="s">
        <v>839</v>
      </c>
      <c r="C36" t="s">
        <v>840</v>
      </c>
      <c r="D36">
        <v>65</v>
      </c>
      <c r="E36" t="s">
        <v>16</v>
      </c>
      <c r="F36" t="s">
        <v>17</v>
      </c>
      <c r="G36" t="s">
        <v>57</v>
      </c>
      <c r="H36" t="s">
        <v>841</v>
      </c>
      <c r="I36" t="s">
        <v>20</v>
      </c>
      <c r="J36" t="s">
        <v>842</v>
      </c>
      <c r="K36" t="s">
        <v>843</v>
      </c>
      <c r="L36" t="s">
        <v>844</v>
      </c>
      <c r="M36" t="s">
        <v>845</v>
      </c>
    </row>
    <row r="37" spans="1:13" x14ac:dyDescent="0.55000000000000004">
      <c r="A37" t="s">
        <v>186</v>
      </c>
      <c r="B37" t="s">
        <v>187</v>
      </c>
      <c r="C37" t="s">
        <v>188</v>
      </c>
      <c r="D37">
        <v>42</v>
      </c>
      <c r="E37" t="s">
        <v>16</v>
      </c>
      <c r="F37" t="s">
        <v>17</v>
      </c>
      <c r="G37" t="s">
        <v>83</v>
      </c>
      <c r="H37" t="s">
        <v>189</v>
      </c>
      <c r="I37" t="s">
        <v>20</v>
      </c>
      <c r="J37" t="s">
        <v>190</v>
      </c>
      <c r="K37" t="s">
        <v>191</v>
      </c>
      <c r="L37" t="s">
        <v>192</v>
      </c>
      <c r="M37" t="s">
        <v>193</v>
      </c>
    </row>
    <row r="38" spans="1:13" x14ac:dyDescent="0.55000000000000004">
      <c r="A38" t="s">
        <v>846</v>
      </c>
      <c r="B38" t="s">
        <v>847</v>
      </c>
      <c r="C38" t="s">
        <v>848</v>
      </c>
      <c r="D38">
        <v>42</v>
      </c>
      <c r="E38" t="s">
        <v>16</v>
      </c>
      <c r="F38" t="s">
        <v>17</v>
      </c>
      <c r="G38" t="s">
        <v>57</v>
      </c>
      <c r="H38" t="s">
        <v>849</v>
      </c>
      <c r="I38" t="s">
        <v>20</v>
      </c>
      <c r="J38" t="s">
        <v>850</v>
      </c>
      <c r="K38" t="s">
        <v>851</v>
      </c>
      <c r="L38" t="s">
        <v>852</v>
      </c>
      <c r="M38" t="s">
        <v>853</v>
      </c>
    </row>
    <row r="39" spans="1:13" x14ac:dyDescent="0.55000000000000004">
      <c r="A39" t="s">
        <v>194</v>
      </c>
      <c r="B39" t="s">
        <v>195</v>
      </c>
      <c r="C39" t="s">
        <v>196</v>
      </c>
      <c r="D39">
        <v>73</v>
      </c>
      <c r="E39" t="s">
        <v>16</v>
      </c>
      <c r="F39" t="s">
        <v>17</v>
      </c>
      <c r="G39" t="s">
        <v>18</v>
      </c>
      <c r="H39" t="s">
        <v>197</v>
      </c>
      <c r="I39" t="s">
        <v>20</v>
      </c>
      <c r="J39" t="s">
        <v>198</v>
      </c>
      <c r="K39" t="s">
        <v>199</v>
      </c>
      <c r="L39" t="s">
        <v>200</v>
      </c>
      <c r="M39" t="s">
        <v>201</v>
      </c>
    </row>
    <row r="40" spans="1:13" x14ac:dyDescent="0.55000000000000004">
      <c r="A40" t="s">
        <v>854</v>
      </c>
      <c r="B40" t="s">
        <v>855</v>
      </c>
      <c r="C40" t="s">
        <v>856</v>
      </c>
      <c r="D40">
        <v>73</v>
      </c>
      <c r="E40" t="s">
        <v>16</v>
      </c>
      <c r="F40" t="s">
        <v>17</v>
      </c>
      <c r="G40" t="s">
        <v>57</v>
      </c>
      <c r="H40" t="s">
        <v>857</v>
      </c>
      <c r="I40" t="s">
        <v>20</v>
      </c>
      <c r="J40" t="s">
        <v>858</v>
      </c>
      <c r="K40" t="s">
        <v>859</v>
      </c>
      <c r="L40" t="s">
        <v>860</v>
      </c>
      <c r="M40" t="s">
        <v>861</v>
      </c>
    </row>
    <row r="41" spans="1:13" x14ac:dyDescent="0.55000000000000004">
      <c r="A41" t="s">
        <v>202</v>
      </c>
      <c r="B41" t="s">
        <v>203</v>
      </c>
      <c r="C41" t="s">
        <v>204</v>
      </c>
      <c r="D41">
        <v>66</v>
      </c>
      <c r="E41" t="s">
        <v>16</v>
      </c>
      <c r="F41" t="s">
        <v>57</v>
      </c>
      <c r="G41" t="s">
        <v>58</v>
      </c>
      <c r="H41" t="s">
        <v>205</v>
      </c>
      <c r="I41" t="s">
        <v>20</v>
      </c>
      <c r="J41" t="s">
        <v>206</v>
      </c>
      <c r="K41" t="s">
        <v>207</v>
      </c>
      <c r="L41" t="s">
        <v>208</v>
      </c>
      <c r="M41" t="s">
        <v>209</v>
      </c>
    </row>
    <row r="42" spans="1:13" x14ac:dyDescent="0.55000000000000004">
      <c r="A42" t="s">
        <v>210</v>
      </c>
      <c r="B42" t="s">
        <v>211</v>
      </c>
      <c r="C42" t="s">
        <v>212</v>
      </c>
      <c r="D42">
        <v>66</v>
      </c>
      <c r="E42" t="s">
        <v>38</v>
      </c>
      <c r="F42" t="s">
        <v>39</v>
      </c>
      <c r="G42" t="s">
        <v>18</v>
      </c>
      <c r="H42" t="s">
        <v>213</v>
      </c>
      <c r="I42" t="s">
        <v>20</v>
      </c>
      <c r="J42" t="s">
        <v>214</v>
      </c>
      <c r="K42" t="s">
        <v>215</v>
      </c>
      <c r="L42" t="s">
        <v>216</v>
      </c>
      <c r="M42" t="s">
        <v>217</v>
      </c>
    </row>
    <row r="43" spans="1:13" x14ac:dyDescent="0.55000000000000004">
      <c r="A43" t="s">
        <v>862</v>
      </c>
      <c r="B43" t="s">
        <v>863</v>
      </c>
      <c r="C43" t="s">
        <v>864</v>
      </c>
      <c r="D43">
        <v>66</v>
      </c>
      <c r="E43" t="s">
        <v>38</v>
      </c>
      <c r="F43" t="s">
        <v>39</v>
      </c>
      <c r="G43" t="s">
        <v>57</v>
      </c>
      <c r="H43" t="s">
        <v>865</v>
      </c>
      <c r="I43" t="s">
        <v>20</v>
      </c>
      <c r="J43" t="s">
        <v>866</v>
      </c>
      <c r="K43" t="s">
        <v>867</v>
      </c>
      <c r="L43" t="s">
        <v>868</v>
      </c>
      <c r="M43" t="s">
        <v>869</v>
      </c>
    </row>
    <row r="44" spans="1:13" x14ac:dyDescent="0.55000000000000004">
      <c r="A44" t="s">
        <v>218</v>
      </c>
      <c r="B44" t="s">
        <v>219</v>
      </c>
      <c r="C44" t="s">
        <v>220</v>
      </c>
      <c r="D44">
        <v>66</v>
      </c>
      <c r="E44" t="s">
        <v>16</v>
      </c>
      <c r="F44" t="s">
        <v>17</v>
      </c>
      <c r="G44" t="s">
        <v>18</v>
      </c>
      <c r="H44" t="s">
        <v>221</v>
      </c>
      <c r="I44" t="s">
        <v>20</v>
      </c>
      <c r="J44" t="s">
        <v>222</v>
      </c>
      <c r="K44" t="s">
        <v>223</v>
      </c>
      <c r="L44" t="s">
        <v>224</v>
      </c>
      <c r="M44" t="s">
        <v>225</v>
      </c>
    </row>
    <row r="45" spans="1:13" x14ac:dyDescent="0.55000000000000004">
      <c r="A45" t="s">
        <v>870</v>
      </c>
      <c r="B45" t="s">
        <v>871</v>
      </c>
      <c r="C45" t="s">
        <v>872</v>
      </c>
      <c r="D45">
        <v>66</v>
      </c>
      <c r="E45" t="s">
        <v>16</v>
      </c>
      <c r="F45" t="s">
        <v>17</v>
      </c>
      <c r="G45" t="s">
        <v>57</v>
      </c>
      <c r="H45" t="s">
        <v>873</v>
      </c>
      <c r="I45" t="s">
        <v>20</v>
      </c>
      <c r="J45" t="s">
        <v>874</v>
      </c>
      <c r="K45" t="s">
        <v>875</v>
      </c>
      <c r="L45" t="s">
        <v>876</v>
      </c>
      <c r="M45" t="s">
        <v>877</v>
      </c>
    </row>
    <row r="46" spans="1:13" x14ac:dyDescent="0.55000000000000004">
      <c r="A46" t="s">
        <v>226</v>
      </c>
      <c r="B46" t="s">
        <v>227</v>
      </c>
      <c r="C46" t="s">
        <v>228</v>
      </c>
      <c r="D46">
        <v>61</v>
      </c>
      <c r="E46" t="s">
        <v>16</v>
      </c>
      <c r="F46" t="s">
        <v>17</v>
      </c>
      <c r="G46" t="s">
        <v>18</v>
      </c>
      <c r="H46" t="s">
        <v>229</v>
      </c>
      <c r="I46" t="s">
        <v>20</v>
      </c>
      <c r="J46" t="s">
        <v>230</v>
      </c>
      <c r="K46" t="s">
        <v>231</v>
      </c>
      <c r="L46" t="s">
        <v>232</v>
      </c>
      <c r="M46" t="s">
        <v>233</v>
      </c>
    </row>
    <row r="47" spans="1:13" x14ac:dyDescent="0.55000000000000004">
      <c r="A47" t="s">
        <v>234</v>
      </c>
      <c r="B47" t="s">
        <v>235</v>
      </c>
      <c r="C47" t="s">
        <v>236</v>
      </c>
      <c r="D47">
        <v>51</v>
      </c>
      <c r="E47" t="s">
        <v>38</v>
      </c>
      <c r="F47" t="s">
        <v>39</v>
      </c>
      <c r="G47" t="s">
        <v>18</v>
      </c>
      <c r="H47" t="s">
        <v>237</v>
      </c>
      <c r="I47" t="s">
        <v>20</v>
      </c>
      <c r="J47" t="s">
        <v>238</v>
      </c>
      <c r="K47" t="s">
        <v>239</v>
      </c>
      <c r="L47" t="s">
        <v>240</v>
      </c>
      <c r="M47" t="s">
        <v>241</v>
      </c>
    </row>
    <row r="48" spans="1:13" x14ac:dyDescent="0.55000000000000004">
      <c r="A48" t="s">
        <v>242</v>
      </c>
      <c r="B48" t="s">
        <v>243</v>
      </c>
      <c r="C48" t="s">
        <v>244</v>
      </c>
      <c r="D48">
        <v>59</v>
      </c>
      <c r="E48" t="s">
        <v>38</v>
      </c>
      <c r="F48" t="s">
        <v>39</v>
      </c>
      <c r="G48" t="s">
        <v>57</v>
      </c>
      <c r="H48" t="s">
        <v>245</v>
      </c>
      <c r="I48" t="s">
        <v>20</v>
      </c>
      <c r="J48" t="s">
        <v>246</v>
      </c>
      <c r="K48" t="s">
        <v>247</v>
      </c>
      <c r="L48" t="s">
        <v>248</v>
      </c>
      <c r="M48" t="s">
        <v>249</v>
      </c>
    </row>
    <row r="49" spans="1:13" x14ac:dyDescent="0.55000000000000004">
      <c r="A49" t="s">
        <v>878</v>
      </c>
      <c r="B49" t="s">
        <v>879</v>
      </c>
      <c r="C49" t="s">
        <v>880</v>
      </c>
      <c r="D49">
        <v>59</v>
      </c>
      <c r="E49" t="s">
        <v>38</v>
      </c>
      <c r="F49" t="s">
        <v>39</v>
      </c>
      <c r="G49" t="s">
        <v>57</v>
      </c>
      <c r="H49" t="s">
        <v>881</v>
      </c>
      <c r="I49" t="s">
        <v>20</v>
      </c>
      <c r="J49" t="s">
        <v>882</v>
      </c>
      <c r="K49" t="s">
        <v>883</v>
      </c>
      <c r="L49" t="s">
        <v>884</v>
      </c>
      <c r="M49" t="s">
        <v>885</v>
      </c>
    </row>
    <row r="50" spans="1:13" x14ac:dyDescent="0.55000000000000004">
      <c r="A50" t="s">
        <v>250</v>
      </c>
      <c r="B50" t="s">
        <v>251</v>
      </c>
      <c r="C50" t="s">
        <v>252</v>
      </c>
      <c r="D50">
        <v>60</v>
      </c>
      <c r="E50" t="s">
        <v>38</v>
      </c>
      <c r="F50" t="s">
        <v>39</v>
      </c>
      <c r="G50">
        <v>4</v>
      </c>
      <c r="H50" t="s">
        <v>253</v>
      </c>
      <c r="I50" t="s">
        <v>20</v>
      </c>
      <c r="J50" t="s">
        <v>254</v>
      </c>
      <c r="K50" t="s">
        <v>255</v>
      </c>
      <c r="L50" t="s">
        <v>256</v>
      </c>
      <c r="M50" t="s">
        <v>257</v>
      </c>
    </row>
    <row r="51" spans="1:13" x14ac:dyDescent="0.55000000000000004">
      <c r="A51" t="s">
        <v>886</v>
      </c>
      <c r="B51" t="s">
        <v>887</v>
      </c>
      <c r="C51" t="s">
        <v>888</v>
      </c>
      <c r="D51">
        <v>60</v>
      </c>
      <c r="E51" t="s">
        <v>38</v>
      </c>
      <c r="F51" t="s">
        <v>39</v>
      </c>
      <c r="G51" t="s">
        <v>57</v>
      </c>
      <c r="H51" t="s">
        <v>889</v>
      </c>
      <c r="I51" t="s">
        <v>20</v>
      </c>
      <c r="J51" t="s">
        <v>890</v>
      </c>
      <c r="K51" t="s">
        <v>891</v>
      </c>
      <c r="L51" t="s">
        <v>892</v>
      </c>
      <c r="M51" t="s">
        <v>893</v>
      </c>
    </row>
    <row r="52" spans="1:13" x14ac:dyDescent="0.55000000000000004">
      <c r="A52" t="s">
        <v>258</v>
      </c>
      <c r="B52" t="s">
        <v>259</v>
      </c>
      <c r="C52" t="s">
        <v>260</v>
      </c>
      <c r="D52">
        <v>38</v>
      </c>
      <c r="E52" t="s">
        <v>38</v>
      </c>
      <c r="F52" t="s">
        <v>39</v>
      </c>
      <c r="G52" t="s">
        <v>18</v>
      </c>
      <c r="H52" t="s">
        <v>261</v>
      </c>
      <c r="I52" t="s">
        <v>20</v>
      </c>
      <c r="J52" t="s">
        <v>262</v>
      </c>
      <c r="K52" t="s">
        <v>263</v>
      </c>
      <c r="L52" t="s">
        <v>264</v>
      </c>
      <c r="M52" t="s">
        <v>265</v>
      </c>
    </row>
    <row r="53" spans="1:13" x14ac:dyDescent="0.55000000000000004">
      <c r="A53" t="s">
        <v>894</v>
      </c>
      <c r="B53" t="s">
        <v>895</v>
      </c>
      <c r="C53" t="s">
        <v>896</v>
      </c>
      <c r="D53">
        <v>38</v>
      </c>
      <c r="E53" t="s">
        <v>38</v>
      </c>
      <c r="F53" t="s">
        <v>39</v>
      </c>
      <c r="G53" t="s">
        <v>57</v>
      </c>
      <c r="H53" t="s">
        <v>897</v>
      </c>
      <c r="I53" t="s">
        <v>20</v>
      </c>
      <c r="J53" t="s">
        <v>898</v>
      </c>
      <c r="K53" t="s">
        <v>899</v>
      </c>
      <c r="L53" t="s">
        <v>900</v>
      </c>
      <c r="M53" t="s">
        <v>901</v>
      </c>
    </row>
    <row r="54" spans="1:13" x14ac:dyDescent="0.55000000000000004">
      <c r="A54" t="s">
        <v>266</v>
      </c>
      <c r="B54" t="s">
        <v>267</v>
      </c>
      <c r="C54" t="s">
        <v>268</v>
      </c>
      <c r="D54">
        <v>61</v>
      </c>
      <c r="E54" t="s">
        <v>38</v>
      </c>
      <c r="F54" t="s">
        <v>39</v>
      </c>
      <c r="G54" t="s">
        <v>18</v>
      </c>
      <c r="H54" t="s">
        <v>269</v>
      </c>
      <c r="I54" t="s">
        <v>20</v>
      </c>
      <c r="J54" t="s">
        <v>270</v>
      </c>
      <c r="K54" t="s">
        <v>271</v>
      </c>
      <c r="L54" t="s">
        <v>272</v>
      </c>
      <c r="M54" t="s">
        <v>273</v>
      </c>
    </row>
    <row r="55" spans="1:13" x14ac:dyDescent="0.55000000000000004">
      <c r="A55" t="s">
        <v>902</v>
      </c>
      <c r="B55" t="s">
        <v>903</v>
      </c>
      <c r="C55" t="s">
        <v>904</v>
      </c>
      <c r="D55">
        <v>61</v>
      </c>
      <c r="E55" t="s">
        <v>38</v>
      </c>
      <c r="F55" t="s">
        <v>39</v>
      </c>
      <c r="G55" t="s">
        <v>57</v>
      </c>
      <c r="H55" t="s">
        <v>905</v>
      </c>
      <c r="I55" t="s">
        <v>20</v>
      </c>
      <c r="J55" t="s">
        <v>906</v>
      </c>
      <c r="K55" t="s">
        <v>907</v>
      </c>
      <c r="L55" t="s">
        <v>908</v>
      </c>
      <c r="M55" t="s">
        <v>909</v>
      </c>
    </row>
    <row r="56" spans="1:13" x14ac:dyDescent="0.55000000000000004">
      <c r="A56" t="s">
        <v>274</v>
      </c>
      <c r="B56" t="s">
        <v>275</v>
      </c>
      <c r="C56" t="s">
        <v>276</v>
      </c>
      <c r="D56">
        <v>58</v>
      </c>
      <c r="E56" t="s">
        <v>16</v>
      </c>
      <c r="F56" t="s">
        <v>28</v>
      </c>
      <c r="G56" t="s">
        <v>18</v>
      </c>
      <c r="H56" t="s">
        <v>277</v>
      </c>
      <c r="I56" t="s">
        <v>20</v>
      </c>
      <c r="J56" t="s">
        <v>278</v>
      </c>
      <c r="K56" t="s">
        <v>279</v>
      </c>
      <c r="L56" t="s">
        <v>280</v>
      </c>
      <c r="M56" t="s">
        <v>281</v>
      </c>
    </row>
    <row r="57" spans="1:13" x14ac:dyDescent="0.55000000000000004">
      <c r="A57" t="s">
        <v>282</v>
      </c>
      <c r="B57" t="s">
        <v>283</v>
      </c>
      <c r="C57" t="s">
        <v>284</v>
      </c>
      <c r="D57">
        <v>62</v>
      </c>
      <c r="E57" t="s">
        <v>16</v>
      </c>
      <c r="F57" t="s">
        <v>57</v>
      </c>
      <c r="G57" t="s">
        <v>57</v>
      </c>
      <c r="H57" t="s">
        <v>285</v>
      </c>
      <c r="I57" t="s">
        <v>20</v>
      </c>
      <c r="J57" t="s">
        <v>286</v>
      </c>
      <c r="K57" t="s">
        <v>287</v>
      </c>
      <c r="L57" t="s">
        <v>288</v>
      </c>
      <c r="M57" t="s">
        <v>289</v>
      </c>
    </row>
    <row r="58" spans="1:13" x14ac:dyDescent="0.55000000000000004">
      <c r="A58" t="s">
        <v>910</v>
      </c>
      <c r="B58" t="s">
        <v>911</v>
      </c>
      <c r="C58" t="s">
        <v>912</v>
      </c>
      <c r="D58">
        <v>62</v>
      </c>
      <c r="E58" t="s">
        <v>16</v>
      </c>
      <c r="F58" t="s">
        <v>57</v>
      </c>
      <c r="G58" t="s">
        <v>57</v>
      </c>
      <c r="H58" t="s">
        <v>913</v>
      </c>
      <c r="I58" t="s">
        <v>20</v>
      </c>
      <c r="J58" t="s">
        <v>914</v>
      </c>
      <c r="K58" t="s">
        <v>915</v>
      </c>
      <c r="L58" t="s">
        <v>916</v>
      </c>
      <c r="M58" t="s">
        <v>917</v>
      </c>
    </row>
    <row r="59" spans="1:13" x14ac:dyDescent="0.55000000000000004">
      <c r="A59" t="s">
        <v>290</v>
      </c>
      <c r="B59" t="s">
        <v>291</v>
      </c>
      <c r="C59" t="s">
        <v>292</v>
      </c>
      <c r="D59">
        <v>73</v>
      </c>
      <c r="E59" t="s">
        <v>16</v>
      </c>
      <c r="F59" t="s">
        <v>17</v>
      </c>
      <c r="G59" t="s">
        <v>83</v>
      </c>
      <c r="H59" t="s">
        <v>293</v>
      </c>
      <c r="I59" t="s">
        <v>20</v>
      </c>
      <c r="J59" t="s">
        <v>294</v>
      </c>
      <c r="K59" t="s">
        <v>295</v>
      </c>
      <c r="L59" t="s">
        <v>296</v>
      </c>
      <c r="M59" t="s">
        <v>297</v>
      </c>
    </row>
    <row r="60" spans="1:13" x14ac:dyDescent="0.55000000000000004">
      <c r="A60" t="s">
        <v>918</v>
      </c>
      <c r="B60" t="s">
        <v>919</v>
      </c>
      <c r="C60" t="s">
        <v>920</v>
      </c>
      <c r="D60">
        <v>73</v>
      </c>
      <c r="E60" t="s">
        <v>16</v>
      </c>
      <c r="F60" t="s">
        <v>17</v>
      </c>
      <c r="G60" t="s">
        <v>57</v>
      </c>
      <c r="H60" t="s">
        <v>921</v>
      </c>
      <c r="I60" t="s">
        <v>20</v>
      </c>
      <c r="J60" t="s">
        <v>922</v>
      </c>
      <c r="K60" t="s">
        <v>923</v>
      </c>
      <c r="L60" t="s">
        <v>924</v>
      </c>
      <c r="M60" t="s">
        <v>925</v>
      </c>
    </row>
    <row r="61" spans="1:13" x14ac:dyDescent="0.55000000000000004">
      <c r="A61" t="s">
        <v>298</v>
      </c>
      <c r="B61" t="s">
        <v>299</v>
      </c>
      <c r="C61" t="s">
        <v>300</v>
      </c>
      <c r="D61">
        <v>60</v>
      </c>
      <c r="E61" t="s">
        <v>16</v>
      </c>
      <c r="F61" t="s">
        <v>28</v>
      </c>
      <c r="G61" t="s">
        <v>100</v>
      </c>
      <c r="H61" t="s">
        <v>301</v>
      </c>
      <c r="I61" t="s">
        <v>20</v>
      </c>
      <c r="J61" t="s">
        <v>302</v>
      </c>
      <c r="K61" t="s">
        <v>303</v>
      </c>
      <c r="L61" t="s">
        <v>304</v>
      </c>
      <c r="M61" t="s">
        <v>305</v>
      </c>
    </row>
    <row r="62" spans="1:13" x14ac:dyDescent="0.55000000000000004">
      <c r="A62" t="s">
        <v>926</v>
      </c>
      <c r="B62" t="s">
        <v>927</v>
      </c>
      <c r="C62" t="s">
        <v>928</v>
      </c>
      <c r="D62">
        <v>60</v>
      </c>
      <c r="E62" t="s">
        <v>16</v>
      </c>
      <c r="F62" t="s">
        <v>28</v>
      </c>
      <c r="G62" t="s">
        <v>57</v>
      </c>
      <c r="H62" t="s">
        <v>929</v>
      </c>
      <c r="I62" t="s">
        <v>20</v>
      </c>
      <c r="J62" t="s">
        <v>930</v>
      </c>
      <c r="K62" t="s">
        <v>931</v>
      </c>
      <c r="L62" t="s">
        <v>932</v>
      </c>
      <c r="M62" t="s">
        <v>933</v>
      </c>
    </row>
    <row r="63" spans="1:13" x14ac:dyDescent="0.55000000000000004">
      <c r="A63" t="s">
        <v>306</v>
      </c>
      <c r="B63" t="s">
        <v>307</v>
      </c>
      <c r="C63" t="s">
        <v>308</v>
      </c>
      <c r="D63">
        <v>56</v>
      </c>
      <c r="E63" t="s">
        <v>38</v>
      </c>
      <c r="F63" t="s">
        <v>39</v>
      </c>
      <c r="G63" t="s">
        <v>18</v>
      </c>
      <c r="H63" t="s">
        <v>309</v>
      </c>
      <c r="I63" t="s">
        <v>20</v>
      </c>
      <c r="J63" t="s">
        <v>310</v>
      </c>
      <c r="K63" t="s">
        <v>311</v>
      </c>
      <c r="L63" t="s">
        <v>312</v>
      </c>
      <c r="M63" t="s">
        <v>313</v>
      </c>
    </row>
    <row r="64" spans="1:13" x14ac:dyDescent="0.55000000000000004">
      <c r="A64" t="s">
        <v>934</v>
      </c>
      <c r="B64" t="s">
        <v>935</v>
      </c>
      <c r="C64" t="s">
        <v>936</v>
      </c>
      <c r="D64">
        <v>56</v>
      </c>
      <c r="E64" t="s">
        <v>38</v>
      </c>
      <c r="F64" t="s">
        <v>39</v>
      </c>
      <c r="G64" t="s">
        <v>57</v>
      </c>
      <c r="H64" t="s">
        <v>937</v>
      </c>
      <c r="I64" t="s">
        <v>20</v>
      </c>
      <c r="J64" t="s">
        <v>938</v>
      </c>
      <c r="K64" t="s">
        <v>939</v>
      </c>
      <c r="L64" t="s">
        <v>940</v>
      </c>
      <c r="M64" t="s">
        <v>941</v>
      </c>
    </row>
    <row r="66" spans="1:13" x14ac:dyDescent="0.55000000000000004">
      <c r="A66" t="s">
        <v>314</v>
      </c>
      <c r="B66" t="s">
        <v>315</v>
      </c>
      <c r="C66" t="s">
        <v>316</v>
      </c>
      <c r="D66">
        <v>76</v>
      </c>
      <c r="E66" t="s">
        <v>16</v>
      </c>
      <c r="F66" t="s">
        <v>17</v>
      </c>
      <c r="G66" t="s">
        <v>100</v>
      </c>
      <c r="H66" t="s">
        <v>317</v>
      </c>
      <c r="I66" t="s">
        <v>20</v>
      </c>
      <c r="J66" t="s">
        <v>318</v>
      </c>
      <c r="K66" t="s">
        <v>319</v>
      </c>
      <c r="L66" t="s">
        <v>320</v>
      </c>
    </row>
    <row r="67" spans="1:13" x14ac:dyDescent="0.55000000000000004">
      <c r="A67" t="s">
        <v>942</v>
      </c>
      <c r="B67" t="s">
        <v>943</v>
      </c>
      <c r="C67" t="s">
        <v>944</v>
      </c>
      <c r="D67">
        <v>76</v>
      </c>
      <c r="E67" t="s">
        <v>16</v>
      </c>
      <c r="F67" t="s">
        <v>17</v>
      </c>
      <c r="G67" t="s">
        <v>57</v>
      </c>
      <c r="H67" t="s">
        <v>945</v>
      </c>
      <c r="I67" t="s">
        <v>20</v>
      </c>
      <c r="J67" t="s">
        <v>946</v>
      </c>
      <c r="K67" t="s">
        <v>947</v>
      </c>
      <c r="L67" t="s">
        <v>948</v>
      </c>
      <c r="M67" t="s">
        <v>949</v>
      </c>
    </row>
    <row r="68" spans="1:13" x14ac:dyDescent="0.55000000000000004">
      <c r="A68" t="s">
        <v>321</v>
      </c>
      <c r="B68" t="s">
        <v>322</v>
      </c>
      <c r="C68" t="s">
        <v>323</v>
      </c>
      <c r="D68">
        <v>62</v>
      </c>
      <c r="E68" t="s">
        <v>16</v>
      </c>
      <c r="F68" t="s">
        <v>39</v>
      </c>
      <c r="G68" t="s">
        <v>58</v>
      </c>
      <c r="H68" t="s">
        <v>324</v>
      </c>
      <c r="I68" t="s">
        <v>20</v>
      </c>
      <c r="J68" t="s">
        <v>325</v>
      </c>
      <c r="K68" t="s">
        <v>326</v>
      </c>
      <c r="L68" t="s">
        <v>327</v>
      </c>
    </row>
    <row r="69" spans="1:13" x14ac:dyDescent="0.55000000000000004">
      <c r="A69" t="s">
        <v>950</v>
      </c>
      <c r="B69" t="s">
        <v>951</v>
      </c>
      <c r="C69" t="s">
        <v>952</v>
      </c>
      <c r="D69">
        <v>62</v>
      </c>
      <c r="E69" t="s">
        <v>16</v>
      </c>
      <c r="F69" t="s">
        <v>39</v>
      </c>
      <c r="G69" t="s">
        <v>57</v>
      </c>
      <c r="H69" t="s">
        <v>953</v>
      </c>
      <c r="I69" t="s">
        <v>20</v>
      </c>
      <c r="J69" t="s">
        <v>954</v>
      </c>
      <c r="K69" t="s">
        <v>955</v>
      </c>
      <c r="L69" t="s">
        <v>956</v>
      </c>
      <c r="M69" t="s">
        <v>957</v>
      </c>
    </row>
    <row r="70" spans="1:13" x14ac:dyDescent="0.55000000000000004">
      <c r="A70" t="s">
        <v>328</v>
      </c>
      <c r="B70" t="s">
        <v>329</v>
      </c>
      <c r="C70" t="s">
        <v>330</v>
      </c>
      <c r="D70">
        <v>54</v>
      </c>
      <c r="E70" t="s">
        <v>16</v>
      </c>
      <c r="F70" t="s">
        <v>28</v>
      </c>
      <c r="G70" t="s">
        <v>18</v>
      </c>
      <c r="H70" t="s">
        <v>331</v>
      </c>
      <c r="I70" t="s">
        <v>20</v>
      </c>
      <c r="J70" t="s">
        <v>332</v>
      </c>
      <c r="K70" t="s">
        <v>333</v>
      </c>
      <c r="L70" t="s">
        <v>334</v>
      </c>
    </row>
    <row r="71" spans="1:13" x14ac:dyDescent="0.55000000000000004">
      <c r="A71" t="s">
        <v>958</v>
      </c>
      <c r="B71" t="s">
        <v>959</v>
      </c>
      <c r="C71" t="s">
        <v>960</v>
      </c>
      <c r="D71">
        <v>54</v>
      </c>
      <c r="E71" t="s">
        <v>16</v>
      </c>
      <c r="F71" t="s">
        <v>28</v>
      </c>
      <c r="G71" t="s">
        <v>57</v>
      </c>
      <c r="H71" t="s">
        <v>961</v>
      </c>
      <c r="I71" t="s">
        <v>20</v>
      </c>
      <c r="J71" t="s">
        <v>962</v>
      </c>
      <c r="K71" t="s">
        <v>963</v>
      </c>
      <c r="L71" t="s">
        <v>964</v>
      </c>
      <c r="M71" t="s">
        <v>965</v>
      </c>
    </row>
    <row r="72" spans="1:13" x14ac:dyDescent="0.55000000000000004">
      <c r="A72" t="s">
        <v>335</v>
      </c>
      <c r="B72" t="s">
        <v>336</v>
      </c>
      <c r="C72" t="s">
        <v>337</v>
      </c>
      <c r="D72">
        <v>68</v>
      </c>
      <c r="E72" t="s">
        <v>16</v>
      </c>
      <c r="F72" t="s">
        <v>39</v>
      </c>
      <c r="G72" t="s">
        <v>18</v>
      </c>
      <c r="H72" t="s">
        <v>338</v>
      </c>
      <c r="I72" t="s">
        <v>20</v>
      </c>
      <c r="J72" t="s">
        <v>339</v>
      </c>
      <c r="K72" t="s">
        <v>340</v>
      </c>
      <c r="L72" t="s">
        <v>341</v>
      </c>
    </row>
    <row r="73" spans="1:13" x14ac:dyDescent="0.55000000000000004">
      <c r="A73" t="s">
        <v>966</v>
      </c>
      <c r="B73" t="s">
        <v>967</v>
      </c>
      <c r="C73" t="s">
        <v>968</v>
      </c>
      <c r="D73">
        <v>68</v>
      </c>
      <c r="E73" t="s">
        <v>16</v>
      </c>
      <c r="F73" t="s">
        <v>39</v>
      </c>
      <c r="G73" t="s">
        <v>57</v>
      </c>
      <c r="H73" t="s">
        <v>969</v>
      </c>
      <c r="I73" t="s">
        <v>20</v>
      </c>
      <c r="J73" t="s">
        <v>970</v>
      </c>
      <c r="K73" t="s">
        <v>971</v>
      </c>
      <c r="L73" t="s">
        <v>972</v>
      </c>
      <c r="M73" t="s">
        <v>973</v>
      </c>
    </row>
    <row r="74" spans="1:13" x14ac:dyDescent="0.55000000000000004">
      <c r="A74" t="s">
        <v>342</v>
      </c>
      <c r="B74" t="s">
        <v>343</v>
      </c>
      <c r="C74" t="s">
        <v>344</v>
      </c>
      <c r="D74">
        <v>79</v>
      </c>
      <c r="E74" t="s">
        <v>16</v>
      </c>
      <c r="F74" t="s">
        <v>17</v>
      </c>
      <c r="G74" t="s">
        <v>83</v>
      </c>
      <c r="H74" t="s">
        <v>345</v>
      </c>
      <c r="I74" t="s">
        <v>20</v>
      </c>
      <c r="J74" t="s">
        <v>346</v>
      </c>
      <c r="K74" t="s">
        <v>347</v>
      </c>
      <c r="L74" t="s">
        <v>348</v>
      </c>
    </row>
    <row r="75" spans="1:13" x14ac:dyDescent="0.55000000000000004">
      <c r="A75" t="s">
        <v>974</v>
      </c>
      <c r="B75" t="s">
        <v>975</v>
      </c>
      <c r="C75" t="s">
        <v>976</v>
      </c>
      <c r="D75">
        <v>79</v>
      </c>
      <c r="E75" t="s">
        <v>16</v>
      </c>
      <c r="F75" t="s">
        <v>17</v>
      </c>
      <c r="G75" t="s">
        <v>57</v>
      </c>
      <c r="H75" t="s">
        <v>977</v>
      </c>
      <c r="I75" t="s">
        <v>20</v>
      </c>
      <c r="J75" t="s">
        <v>978</v>
      </c>
      <c r="K75" t="s">
        <v>979</v>
      </c>
      <c r="L75" t="s">
        <v>980</v>
      </c>
      <c r="M75" t="s">
        <v>981</v>
      </c>
    </row>
    <row r="76" spans="1:13" x14ac:dyDescent="0.55000000000000004">
      <c r="A76" s="3" t="s">
        <v>349</v>
      </c>
      <c r="B76" s="3" t="s">
        <v>350</v>
      </c>
      <c r="C76" s="3" t="s">
        <v>351</v>
      </c>
      <c r="D76" s="3">
        <v>58</v>
      </c>
      <c r="E76" s="3" t="s">
        <v>16</v>
      </c>
      <c r="F76" s="3" t="s">
        <v>17</v>
      </c>
      <c r="G76" s="3" t="s">
        <v>18</v>
      </c>
      <c r="H76" s="3" t="s">
        <v>352</v>
      </c>
      <c r="I76" s="3" t="s">
        <v>20</v>
      </c>
      <c r="J76" s="3" t="s">
        <v>353</v>
      </c>
      <c r="K76" s="3" t="s">
        <v>354</v>
      </c>
      <c r="L76" s="3" t="s">
        <v>355</v>
      </c>
      <c r="M76" s="3" t="s">
        <v>356</v>
      </c>
    </row>
    <row r="77" spans="1:13" x14ac:dyDescent="0.55000000000000004">
      <c r="A77" s="3" t="s">
        <v>357</v>
      </c>
      <c r="B77" s="3" t="s">
        <v>350</v>
      </c>
      <c r="C77" s="3" t="s">
        <v>351</v>
      </c>
      <c r="D77" s="3">
        <v>58</v>
      </c>
      <c r="E77" s="3" t="s">
        <v>16</v>
      </c>
      <c r="F77" s="3" t="s">
        <v>17</v>
      </c>
      <c r="G77" s="3" t="s">
        <v>18</v>
      </c>
      <c r="H77" s="3" t="s">
        <v>352</v>
      </c>
      <c r="I77" s="3" t="s">
        <v>20</v>
      </c>
      <c r="J77" s="3" t="s">
        <v>353</v>
      </c>
      <c r="K77" s="3" t="s">
        <v>354</v>
      </c>
      <c r="L77" s="3" t="s">
        <v>358</v>
      </c>
      <c r="M77" s="3" t="s">
        <v>359</v>
      </c>
    </row>
    <row r="78" spans="1:13" x14ac:dyDescent="0.55000000000000004">
      <c r="A78" t="s">
        <v>982</v>
      </c>
      <c r="B78" t="s">
        <v>983</v>
      </c>
      <c r="C78" t="s">
        <v>984</v>
      </c>
      <c r="D78">
        <v>58</v>
      </c>
      <c r="E78" t="s">
        <v>16</v>
      </c>
      <c r="F78" t="s">
        <v>17</v>
      </c>
      <c r="G78" t="s">
        <v>57</v>
      </c>
      <c r="H78" t="s">
        <v>985</v>
      </c>
      <c r="I78" t="s">
        <v>20</v>
      </c>
      <c r="J78" t="s">
        <v>986</v>
      </c>
      <c r="K78" t="s">
        <v>987</v>
      </c>
      <c r="L78" t="s">
        <v>988</v>
      </c>
      <c r="M78" t="s">
        <v>989</v>
      </c>
    </row>
    <row r="79" spans="1:13" x14ac:dyDescent="0.55000000000000004">
      <c r="A79" t="s">
        <v>360</v>
      </c>
      <c r="B79" t="s">
        <v>361</v>
      </c>
      <c r="C79" t="s">
        <v>362</v>
      </c>
      <c r="D79">
        <v>71</v>
      </c>
      <c r="E79" t="s">
        <v>38</v>
      </c>
      <c r="F79" t="s">
        <v>39</v>
      </c>
      <c r="G79" t="s">
        <v>18</v>
      </c>
      <c r="H79" t="s">
        <v>363</v>
      </c>
      <c r="I79" t="s">
        <v>20</v>
      </c>
      <c r="J79" t="s">
        <v>364</v>
      </c>
      <c r="K79" t="s">
        <v>365</v>
      </c>
      <c r="L79" t="s">
        <v>366</v>
      </c>
      <c r="M79" t="s">
        <v>367</v>
      </c>
    </row>
    <row r="80" spans="1:13" x14ac:dyDescent="0.55000000000000004">
      <c r="A80" t="s">
        <v>990</v>
      </c>
      <c r="B80" t="s">
        <v>991</v>
      </c>
      <c r="C80" t="s">
        <v>992</v>
      </c>
      <c r="D80">
        <v>71</v>
      </c>
      <c r="E80" t="s">
        <v>38</v>
      </c>
      <c r="F80" t="s">
        <v>39</v>
      </c>
      <c r="G80" t="s">
        <v>57</v>
      </c>
      <c r="H80" t="s">
        <v>993</v>
      </c>
      <c r="I80" t="s">
        <v>20</v>
      </c>
      <c r="J80" t="s">
        <v>994</v>
      </c>
      <c r="K80" t="s">
        <v>995</v>
      </c>
      <c r="L80" t="s">
        <v>996</v>
      </c>
      <c r="M80" t="s">
        <v>997</v>
      </c>
    </row>
    <row r="81" spans="1:13" x14ac:dyDescent="0.55000000000000004">
      <c r="A81" t="s">
        <v>368</v>
      </c>
      <c r="B81" t="s">
        <v>369</v>
      </c>
      <c r="C81" t="s">
        <v>370</v>
      </c>
      <c r="D81">
        <v>69</v>
      </c>
      <c r="E81" t="s">
        <v>16</v>
      </c>
      <c r="F81" t="s">
        <v>17</v>
      </c>
      <c r="G81" t="s">
        <v>29</v>
      </c>
      <c r="H81" t="s">
        <v>371</v>
      </c>
      <c r="I81" t="s">
        <v>20</v>
      </c>
      <c r="J81" t="s">
        <v>372</v>
      </c>
      <c r="K81" t="s">
        <v>373</v>
      </c>
      <c r="L81" t="s">
        <v>374</v>
      </c>
      <c r="M81" t="s">
        <v>375</v>
      </c>
    </row>
    <row r="82" spans="1:13" x14ac:dyDescent="0.55000000000000004">
      <c r="A82" t="s">
        <v>998</v>
      </c>
      <c r="B82" t="s">
        <v>999</v>
      </c>
      <c r="C82" t="s">
        <v>1000</v>
      </c>
      <c r="D82">
        <v>69</v>
      </c>
      <c r="E82" t="s">
        <v>16</v>
      </c>
      <c r="F82" t="s">
        <v>17</v>
      </c>
      <c r="G82" t="s">
        <v>57</v>
      </c>
      <c r="H82" t="s">
        <v>1001</v>
      </c>
      <c r="I82" t="s">
        <v>20</v>
      </c>
      <c r="J82" t="s">
        <v>1002</v>
      </c>
      <c r="K82" t="s">
        <v>1003</v>
      </c>
      <c r="L82" t="s">
        <v>1004</v>
      </c>
      <c r="M82" t="s">
        <v>1005</v>
      </c>
    </row>
    <row r="83" spans="1:13" x14ac:dyDescent="0.55000000000000004">
      <c r="A83" t="s">
        <v>376</v>
      </c>
      <c r="B83" t="s">
        <v>377</v>
      </c>
      <c r="C83" t="s">
        <v>378</v>
      </c>
      <c r="D83">
        <v>69</v>
      </c>
      <c r="E83" t="s">
        <v>16</v>
      </c>
      <c r="F83" t="s">
        <v>17</v>
      </c>
      <c r="G83">
        <v>4</v>
      </c>
      <c r="H83" t="s">
        <v>379</v>
      </c>
      <c r="I83" t="s">
        <v>20</v>
      </c>
      <c r="J83" t="s">
        <v>380</v>
      </c>
      <c r="K83" t="s">
        <v>381</v>
      </c>
      <c r="L83" t="s">
        <v>382</v>
      </c>
      <c r="M83" t="s">
        <v>383</v>
      </c>
    </row>
    <row r="84" spans="1:13" x14ac:dyDescent="0.55000000000000004">
      <c r="A84" t="s">
        <v>1006</v>
      </c>
      <c r="B84" t="s">
        <v>1007</v>
      </c>
      <c r="C84" t="s">
        <v>1008</v>
      </c>
      <c r="D84">
        <v>69</v>
      </c>
      <c r="E84" t="s">
        <v>16</v>
      </c>
      <c r="F84" t="s">
        <v>17</v>
      </c>
      <c r="G84" t="s">
        <v>57</v>
      </c>
      <c r="H84" t="s">
        <v>1009</v>
      </c>
      <c r="I84" t="s">
        <v>20</v>
      </c>
      <c r="J84" t="s">
        <v>1010</v>
      </c>
      <c r="K84" t="s">
        <v>1011</v>
      </c>
      <c r="L84" t="s">
        <v>1012</v>
      </c>
      <c r="M84" t="s">
        <v>1013</v>
      </c>
    </row>
    <row r="85" spans="1:13" x14ac:dyDescent="0.55000000000000004">
      <c r="A85" t="s">
        <v>384</v>
      </c>
      <c r="B85" t="s">
        <v>385</v>
      </c>
      <c r="C85" t="s">
        <v>386</v>
      </c>
      <c r="D85">
        <v>65</v>
      </c>
      <c r="E85" t="s">
        <v>16</v>
      </c>
      <c r="F85" t="s">
        <v>17</v>
      </c>
      <c r="G85" t="s">
        <v>83</v>
      </c>
      <c r="H85" t="s">
        <v>387</v>
      </c>
      <c r="I85" t="s">
        <v>20</v>
      </c>
      <c r="J85" t="s">
        <v>388</v>
      </c>
      <c r="K85" t="s">
        <v>389</v>
      </c>
      <c r="L85" t="s">
        <v>390</v>
      </c>
      <c r="M85" t="s">
        <v>391</v>
      </c>
    </row>
    <row r="86" spans="1:13" x14ac:dyDescent="0.55000000000000004">
      <c r="A86" t="s">
        <v>1014</v>
      </c>
      <c r="B86" t="s">
        <v>1015</v>
      </c>
      <c r="C86" t="s">
        <v>1016</v>
      </c>
      <c r="D86">
        <v>65</v>
      </c>
      <c r="E86" t="s">
        <v>16</v>
      </c>
      <c r="F86" t="s">
        <v>17</v>
      </c>
      <c r="G86" t="s">
        <v>57</v>
      </c>
      <c r="H86" t="s">
        <v>1017</v>
      </c>
      <c r="I86" t="s">
        <v>20</v>
      </c>
      <c r="J86" t="s">
        <v>1018</v>
      </c>
      <c r="K86" t="s">
        <v>1019</v>
      </c>
      <c r="L86" t="s">
        <v>1020</v>
      </c>
      <c r="M86" t="s">
        <v>1021</v>
      </c>
    </row>
    <row r="87" spans="1:13" x14ac:dyDescent="0.55000000000000004">
      <c r="A87" t="s">
        <v>392</v>
      </c>
      <c r="B87" t="s">
        <v>393</v>
      </c>
      <c r="C87" t="s">
        <v>394</v>
      </c>
      <c r="D87">
        <v>61</v>
      </c>
      <c r="E87" t="s">
        <v>16</v>
      </c>
      <c r="F87" t="s">
        <v>28</v>
      </c>
      <c r="G87" t="s">
        <v>58</v>
      </c>
      <c r="H87" t="s">
        <v>395</v>
      </c>
      <c r="I87" t="s">
        <v>20</v>
      </c>
      <c r="J87" t="s">
        <v>396</v>
      </c>
      <c r="K87" t="s">
        <v>397</v>
      </c>
      <c r="L87" t="s">
        <v>398</v>
      </c>
      <c r="M87" t="s">
        <v>399</v>
      </c>
    </row>
    <row r="88" spans="1:13" x14ac:dyDescent="0.55000000000000004">
      <c r="A88" t="s">
        <v>400</v>
      </c>
      <c r="B88" t="s">
        <v>401</v>
      </c>
      <c r="C88" t="s">
        <v>402</v>
      </c>
      <c r="D88">
        <v>62</v>
      </c>
      <c r="E88" t="s">
        <v>16</v>
      </c>
      <c r="F88" t="s">
        <v>17</v>
      </c>
      <c r="G88" t="s">
        <v>83</v>
      </c>
      <c r="H88" t="s">
        <v>403</v>
      </c>
      <c r="I88" t="s">
        <v>20</v>
      </c>
      <c r="J88" t="s">
        <v>404</v>
      </c>
      <c r="K88" t="s">
        <v>405</v>
      </c>
      <c r="L88" t="s">
        <v>406</v>
      </c>
      <c r="M88" t="s">
        <v>407</v>
      </c>
    </row>
    <row r="89" spans="1:13" x14ac:dyDescent="0.55000000000000004">
      <c r="A89" t="s">
        <v>1022</v>
      </c>
      <c r="B89" t="s">
        <v>1023</v>
      </c>
      <c r="C89" t="s">
        <v>1024</v>
      </c>
      <c r="D89">
        <v>62</v>
      </c>
      <c r="E89" t="s">
        <v>16</v>
      </c>
      <c r="F89" t="s">
        <v>17</v>
      </c>
      <c r="G89" t="s">
        <v>57</v>
      </c>
      <c r="H89" t="s">
        <v>1025</v>
      </c>
      <c r="I89" t="s">
        <v>20</v>
      </c>
      <c r="J89" t="s">
        <v>1026</v>
      </c>
      <c r="K89" t="s">
        <v>1027</v>
      </c>
      <c r="L89" t="s">
        <v>1028</v>
      </c>
      <c r="M89" t="s">
        <v>1029</v>
      </c>
    </row>
    <row r="90" spans="1:13" x14ac:dyDescent="0.55000000000000004">
      <c r="A90" t="s">
        <v>408</v>
      </c>
      <c r="B90" t="s">
        <v>409</v>
      </c>
      <c r="C90" t="s">
        <v>410</v>
      </c>
      <c r="D90">
        <v>79</v>
      </c>
      <c r="E90" t="s">
        <v>16</v>
      </c>
      <c r="F90" t="s">
        <v>17</v>
      </c>
      <c r="G90" t="s">
        <v>83</v>
      </c>
      <c r="H90" t="s">
        <v>411</v>
      </c>
      <c r="I90" t="s">
        <v>20</v>
      </c>
      <c r="J90" t="s">
        <v>412</v>
      </c>
      <c r="K90" t="s">
        <v>413</v>
      </c>
      <c r="L90" t="s">
        <v>414</v>
      </c>
      <c r="M90" t="s">
        <v>415</v>
      </c>
    </row>
    <row r="91" spans="1:13" x14ac:dyDescent="0.55000000000000004">
      <c r="A91" t="s">
        <v>1030</v>
      </c>
      <c r="B91" t="s">
        <v>1031</v>
      </c>
      <c r="C91" t="s">
        <v>1032</v>
      </c>
      <c r="D91">
        <v>79</v>
      </c>
      <c r="E91" t="s">
        <v>16</v>
      </c>
      <c r="F91" t="s">
        <v>17</v>
      </c>
      <c r="G91" t="s">
        <v>57</v>
      </c>
      <c r="H91" t="s">
        <v>1033</v>
      </c>
      <c r="I91" t="s">
        <v>20</v>
      </c>
      <c r="J91" t="s">
        <v>1034</v>
      </c>
      <c r="K91" t="s">
        <v>1035</v>
      </c>
      <c r="L91" t="s">
        <v>1036</v>
      </c>
      <c r="M91" t="s">
        <v>1037</v>
      </c>
    </row>
    <row r="92" spans="1:13" x14ac:dyDescent="0.55000000000000004">
      <c r="A92" t="s">
        <v>416</v>
      </c>
      <c r="B92" t="s">
        <v>417</v>
      </c>
      <c r="C92" t="s">
        <v>418</v>
      </c>
      <c r="D92">
        <v>73</v>
      </c>
      <c r="E92" t="s">
        <v>16</v>
      </c>
      <c r="F92" t="s">
        <v>28</v>
      </c>
      <c r="G92" t="s">
        <v>83</v>
      </c>
      <c r="H92" t="s">
        <v>419</v>
      </c>
      <c r="I92" t="s">
        <v>20</v>
      </c>
      <c r="J92" t="s">
        <v>420</v>
      </c>
      <c r="K92" t="s">
        <v>421</v>
      </c>
      <c r="L92" t="s">
        <v>422</v>
      </c>
      <c r="M92" t="s">
        <v>423</v>
      </c>
    </row>
    <row r="93" spans="1:13" x14ac:dyDescent="0.55000000000000004">
      <c r="A93" t="s">
        <v>1038</v>
      </c>
      <c r="B93" t="s">
        <v>1039</v>
      </c>
      <c r="C93" t="s">
        <v>1040</v>
      </c>
      <c r="D93">
        <v>73</v>
      </c>
      <c r="E93" t="s">
        <v>16</v>
      </c>
      <c r="F93" t="s">
        <v>28</v>
      </c>
      <c r="G93" t="s">
        <v>57</v>
      </c>
      <c r="H93" t="s">
        <v>1041</v>
      </c>
      <c r="I93" t="s">
        <v>20</v>
      </c>
      <c r="J93" t="s">
        <v>1042</v>
      </c>
      <c r="K93" t="s">
        <v>1043</v>
      </c>
      <c r="L93" t="s">
        <v>1044</v>
      </c>
      <c r="M93" t="s">
        <v>1045</v>
      </c>
    </row>
    <row r="94" spans="1:13" x14ac:dyDescent="0.55000000000000004">
      <c r="A94" s="3" t="s">
        <v>424</v>
      </c>
      <c r="B94" s="3" t="s">
        <v>425</v>
      </c>
      <c r="C94" s="3" t="s">
        <v>426</v>
      </c>
      <c r="D94" s="3">
        <v>67</v>
      </c>
      <c r="E94" s="3" t="s">
        <v>38</v>
      </c>
      <c r="F94" s="3" t="s">
        <v>39</v>
      </c>
      <c r="G94" s="3" t="s">
        <v>18</v>
      </c>
      <c r="H94" s="3" t="s">
        <v>427</v>
      </c>
      <c r="I94" s="3" t="s">
        <v>20</v>
      </c>
      <c r="J94" s="3" t="s">
        <v>428</v>
      </c>
      <c r="K94" s="3" t="s">
        <v>429</v>
      </c>
      <c r="L94" s="3" t="s">
        <v>430</v>
      </c>
      <c r="M94" s="3" t="s">
        <v>431</v>
      </c>
    </row>
    <row r="95" spans="1:13" x14ac:dyDescent="0.55000000000000004">
      <c r="A95" s="3" t="s">
        <v>432</v>
      </c>
      <c r="B95" s="3" t="s">
        <v>425</v>
      </c>
      <c r="C95" s="3" t="s">
        <v>426</v>
      </c>
      <c r="D95" s="3">
        <v>67</v>
      </c>
      <c r="E95" s="3" t="s">
        <v>38</v>
      </c>
      <c r="F95" s="3" t="s">
        <v>39</v>
      </c>
      <c r="G95" s="3" t="s">
        <v>18</v>
      </c>
      <c r="H95" s="3" t="s">
        <v>427</v>
      </c>
      <c r="I95" s="3" t="s">
        <v>20</v>
      </c>
      <c r="J95" s="3" t="s">
        <v>428</v>
      </c>
      <c r="K95" s="3" t="s">
        <v>429</v>
      </c>
      <c r="L95" s="3" t="s">
        <v>433</v>
      </c>
      <c r="M95" s="3" t="s">
        <v>434</v>
      </c>
    </row>
    <row r="96" spans="1:13" x14ac:dyDescent="0.55000000000000004">
      <c r="A96" t="s">
        <v>1046</v>
      </c>
      <c r="B96" t="s">
        <v>1047</v>
      </c>
      <c r="C96" t="s">
        <v>1048</v>
      </c>
      <c r="D96">
        <v>67</v>
      </c>
      <c r="E96" t="s">
        <v>38</v>
      </c>
      <c r="F96" t="s">
        <v>39</v>
      </c>
      <c r="G96" t="s">
        <v>57</v>
      </c>
      <c r="H96" t="s">
        <v>1049</v>
      </c>
      <c r="I96" t="s">
        <v>20</v>
      </c>
      <c r="J96" t="s">
        <v>1050</v>
      </c>
      <c r="K96" t="s">
        <v>1051</v>
      </c>
      <c r="L96" t="s">
        <v>1052</v>
      </c>
      <c r="M96" t="s">
        <v>1053</v>
      </c>
    </row>
    <row r="97" spans="1:13" x14ac:dyDescent="0.55000000000000004">
      <c r="A97" s="3" t="s">
        <v>435</v>
      </c>
      <c r="B97" s="3" t="s">
        <v>436</v>
      </c>
      <c r="C97" s="3" t="s">
        <v>437</v>
      </c>
      <c r="D97" s="3">
        <v>73</v>
      </c>
      <c r="E97" s="3" t="s">
        <v>16</v>
      </c>
      <c r="F97" s="3" t="s">
        <v>17</v>
      </c>
      <c r="G97" s="3" t="s">
        <v>18</v>
      </c>
      <c r="H97" s="3" t="s">
        <v>438</v>
      </c>
      <c r="I97" s="3" t="s">
        <v>20</v>
      </c>
      <c r="J97" s="3" t="s">
        <v>439</v>
      </c>
      <c r="K97" s="3" t="s">
        <v>440</v>
      </c>
      <c r="L97" s="3" t="s">
        <v>441</v>
      </c>
      <c r="M97" s="3" t="s">
        <v>442</v>
      </c>
    </row>
    <row r="98" spans="1:13" x14ac:dyDescent="0.55000000000000004">
      <c r="A98" s="3" t="s">
        <v>443</v>
      </c>
      <c r="B98" s="3" t="s">
        <v>436</v>
      </c>
      <c r="C98" s="3" t="s">
        <v>437</v>
      </c>
      <c r="D98" s="3">
        <v>73</v>
      </c>
      <c r="E98" s="3" t="s">
        <v>16</v>
      </c>
      <c r="F98" s="3" t="s">
        <v>17</v>
      </c>
      <c r="G98" s="3" t="s">
        <v>18</v>
      </c>
      <c r="H98" s="3" t="s">
        <v>438</v>
      </c>
      <c r="I98" s="3" t="s">
        <v>20</v>
      </c>
      <c r="J98" s="3" t="s">
        <v>439</v>
      </c>
      <c r="K98" s="3" t="s">
        <v>440</v>
      </c>
      <c r="L98" s="3" t="s">
        <v>444</v>
      </c>
      <c r="M98" s="3" t="s">
        <v>445</v>
      </c>
    </row>
    <row r="99" spans="1:13" x14ac:dyDescent="0.55000000000000004">
      <c r="A99" t="s">
        <v>1054</v>
      </c>
      <c r="B99" t="s">
        <v>1055</v>
      </c>
      <c r="C99" t="s">
        <v>1056</v>
      </c>
      <c r="D99">
        <v>73</v>
      </c>
      <c r="E99" t="s">
        <v>16</v>
      </c>
      <c r="F99" t="s">
        <v>17</v>
      </c>
      <c r="G99" t="s">
        <v>57</v>
      </c>
      <c r="H99" t="s">
        <v>1057</v>
      </c>
      <c r="I99" t="s">
        <v>20</v>
      </c>
      <c r="J99" t="s">
        <v>1058</v>
      </c>
      <c r="K99" t="s">
        <v>1059</v>
      </c>
      <c r="L99" t="s">
        <v>1060</v>
      </c>
      <c r="M99" t="s">
        <v>1061</v>
      </c>
    </row>
    <row r="100" spans="1:13" x14ac:dyDescent="0.55000000000000004">
      <c r="A100" t="s">
        <v>446</v>
      </c>
      <c r="B100" t="s">
        <v>447</v>
      </c>
      <c r="C100" t="s">
        <v>448</v>
      </c>
      <c r="D100">
        <v>76</v>
      </c>
      <c r="E100" t="s">
        <v>16</v>
      </c>
      <c r="F100" t="s">
        <v>17</v>
      </c>
      <c r="G100" t="s">
        <v>58</v>
      </c>
      <c r="H100" t="s">
        <v>449</v>
      </c>
      <c r="I100" t="s">
        <v>20</v>
      </c>
      <c r="J100" t="s">
        <v>450</v>
      </c>
      <c r="K100" t="s">
        <v>451</v>
      </c>
      <c r="L100" t="s">
        <v>452</v>
      </c>
      <c r="M100" t="s">
        <v>453</v>
      </c>
    </row>
    <row r="101" spans="1:13" x14ac:dyDescent="0.55000000000000004">
      <c r="A101" t="s">
        <v>1062</v>
      </c>
      <c r="B101" t="s">
        <v>1063</v>
      </c>
      <c r="C101" t="s">
        <v>1064</v>
      </c>
      <c r="D101">
        <v>76</v>
      </c>
      <c r="E101" t="s">
        <v>16</v>
      </c>
      <c r="F101" t="s">
        <v>17</v>
      </c>
      <c r="G101" t="s">
        <v>57</v>
      </c>
      <c r="H101" t="s">
        <v>1065</v>
      </c>
      <c r="I101" t="s">
        <v>20</v>
      </c>
      <c r="J101" t="s">
        <v>1066</v>
      </c>
      <c r="K101" t="s">
        <v>1067</v>
      </c>
      <c r="L101" t="s">
        <v>1068</v>
      </c>
      <c r="M101" t="s">
        <v>1069</v>
      </c>
    </row>
    <row r="102" spans="1:13" x14ac:dyDescent="0.55000000000000004">
      <c r="A102" t="s">
        <v>454</v>
      </c>
      <c r="B102" t="s">
        <v>455</v>
      </c>
      <c r="C102" t="s">
        <v>456</v>
      </c>
      <c r="D102">
        <v>62</v>
      </c>
      <c r="E102" t="s">
        <v>16</v>
      </c>
      <c r="F102" t="s">
        <v>17</v>
      </c>
      <c r="G102" t="s">
        <v>18</v>
      </c>
      <c r="H102" t="s">
        <v>457</v>
      </c>
      <c r="I102" t="s">
        <v>20</v>
      </c>
      <c r="J102" t="s">
        <v>458</v>
      </c>
      <c r="K102" t="s">
        <v>459</v>
      </c>
      <c r="L102" t="s">
        <v>460</v>
      </c>
      <c r="M102" t="s">
        <v>461</v>
      </c>
    </row>
    <row r="103" spans="1:13" x14ac:dyDescent="0.55000000000000004">
      <c r="A103" t="s">
        <v>1070</v>
      </c>
      <c r="B103" t="s">
        <v>1071</v>
      </c>
      <c r="C103" t="s">
        <v>1072</v>
      </c>
      <c r="D103">
        <v>62</v>
      </c>
      <c r="E103" t="s">
        <v>16</v>
      </c>
      <c r="F103" t="s">
        <v>17</v>
      </c>
      <c r="G103" t="s">
        <v>57</v>
      </c>
      <c r="H103" t="s">
        <v>1073</v>
      </c>
      <c r="I103" t="s">
        <v>20</v>
      </c>
      <c r="J103" t="s">
        <v>1074</v>
      </c>
      <c r="K103" t="s">
        <v>1075</v>
      </c>
      <c r="L103" t="s">
        <v>1076</v>
      </c>
      <c r="M103" t="s">
        <v>1077</v>
      </c>
    </row>
    <row r="104" spans="1:13" x14ac:dyDescent="0.55000000000000004">
      <c r="A104" t="s">
        <v>462</v>
      </c>
      <c r="B104" t="s">
        <v>463</v>
      </c>
      <c r="C104" t="s">
        <v>464</v>
      </c>
      <c r="D104">
        <v>58</v>
      </c>
      <c r="E104" t="s">
        <v>16</v>
      </c>
      <c r="F104" t="s">
        <v>17</v>
      </c>
      <c r="G104" t="s">
        <v>83</v>
      </c>
      <c r="H104" t="s">
        <v>465</v>
      </c>
      <c r="I104" t="s">
        <v>20</v>
      </c>
      <c r="J104" t="s">
        <v>466</v>
      </c>
      <c r="K104" t="s">
        <v>467</v>
      </c>
      <c r="L104" t="s">
        <v>468</v>
      </c>
      <c r="M104" t="s">
        <v>469</v>
      </c>
    </row>
    <row r="105" spans="1:13" x14ac:dyDescent="0.55000000000000004">
      <c r="A105" t="s">
        <v>1078</v>
      </c>
      <c r="B105" t="s">
        <v>1079</v>
      </c>
      <c r="C105" t="s">
        <v>1080</v>
      </c>
      <c r="D105">
        <v>58</v>
      </c>
      <c r="E105" t="s">
        <v>16</v>
      </c>
      <c r="F105" t="s">
        <v>17</v>
      </c>
      <c r="G105" t="s">
        <v>57</v>
      </c>
      <c r="H105" t="s">
        <v>1081</v>
      </c>
      <c r="I105" t="s">
        <v>20</v>
      </c>
      <c r="J105" t="s">
        <v>1082</v>
      </c>
      <c r="K105" t="s">
        <v>1083</v>
      </c>
      <c r="L105" t="s">
        <v>1084</v>
      </c>
      <c r="M105" t="s">
        <v>1085</v>
      </c>
    </row>
    <row r="106" spans="1:13" x14ac:dyDescent="0.55000000000000004">
      <c r="A106" t="s">
        <v>470</v>
      </c>
      <c r="B106" t="s">
        <v>471</v>
      </c>
      <c r="C106" t="s">
        <v>472</v>
      </c>
      <c r="D106">
        <v>52</v>
      </c>
      <c r="E106" t="s">
        <v>16</v>
      </c>
      <c r="F106" t="s">
        <v>28</v>
      </c>
      <c r="G106" t="s">
        <v>18</v>
      </c>
      <c r="H106" t="s">
        <v>473</v>
      </c>
      <c r="I106" t="s">
        <v>20</v>
      </c>
      <c r="J106" t="s">
        <v>474</v>
      </c>
      <c r="K106" t="s">
        <v>475</v>
      </c>
      <c r="L106" t="s">
        <v>476</v>
      </c>
      <c r="M106" t="s">
        <v>477</v>
      </c>
    </row>
    <row r="107" spans="1:13" x14ac:dyDescent="0.55000000000000004">
      <c r="A107" t="s">
        <v>1086</v>
      </c>
      <c r="B107" t="s">
        <v>1087</v>
      </c>
      <c r="C107" t="s">
        <v>1088</v>
      </c>
      <c r="D107">
        <v>52</v>
      </c>
      <c r="E107" t="s">
        <v>16</v>
      </c>
      <c r="F107" t="s">
        <v>28</v>
      </c>
      <c r="G107" t="s">
        <v>57</v>
      </c>
      <c r="H107" t="s">
        <v>1089</v>
      </c>
      <c r="I107" t="s">
        <v>20</v>
      </c>
      <c r="J107" t="s">
        <v>1090</v>
      </c>
      <c r="K107" t="s">
        <v>1091</v>
      </c>
      <c r="L107" t="s">
        <v>1092</v>
      </c>
      <c r="M107" t="s">
        <v>1093</v>
      </c>
    </row>
    <row r="108" spans="1:13" x14ac:dyDescent="0.55000000000000004">
      <c r="A108" t="s">
        <v>478</v>
      </c>
      <c r="B108" t="s">
        <v>479</v>
      </c>
      <c r="C108" t="s">
        <v>480</v>
      </c>
      <c r="D108">
        <v>67</v>
      </c>
      <c r="E108" t="s">
        <v>38</v>
      </c>
      <c r="F108" t="s">
        <v>39</v>
      </c>
      <c r="G108" t="s">
        <v>83</v>
      </c>
      <c r="H108" t="s">
        <v>481</v>
      </c>
      <c r="I108" t="s">
        <v>20</v>
      </c>
      <c r="J108" t="s">
        <v>482</v>
      </c>
      <c r="K108" t="s">
        <v>483</v>
      </c>
      <c r="L108" t="s">
        <v>484</v>
      </c>
      <c r="M108" t="s">
        <v>485</v>
      </c>
    </row>
    <row r="109" spans="1:13" x14ac:dyDescent="0.55000000000000004">
      <c r="A109" t="s">
        <v>1094</v>
      </c>
      <c r="B109" t="s">
        <v>1095</v>
      </c>
      <c r="C109" t="s">
        <v>1096</v>
      </c>
      <c r="D109">
        <v>67</v>
      </c>
      <c r="E109" t="s">
        <v>38</v>
      </c>
      <c r="F109" t="s">
        <v>39</v>
      </c>
      <c r="G109" t="s">
        <v>57</v>
      </c>
      <c r="H109" t="s">
        <v>1097</v>
      </c>
      <c r="I109" t="s">
        <v>20</v>
      </c>
      <c r="J109" t="s">
        <v>1098</v>
      </c>
      <c r="K109" t="s">
        <v>1099</v>
      </c>
      <c r="L109" t="s">
        <v>1100</v>
      </c>
      <c r="M109" t="s">
        <v>1101</v>
      </c>
    </row>
    <row r="110" spans="1:13" x14ac:dyDescent="0.55000000000000004">
      <c r="A110" t="s">
        <v>486</v>
      </c>
      <c r="B110" t="s">
        <v>487</v>
      </c>
      <c r="C110" t="s">
        <v>488</v>
      </c>
      <c r="D110">
        <v>62</v>
      </c>
      <c r="E110" t="s">
        <v>38</v>
      </c>
      <c r="F110" t="s">
        <v>39</v>
      </c>
      <c r="G110" t="s">
        <v>83</v>
      </c>
      <c r="H110" t="s">
        <v>489</v>
      </c>
      <c r="I110" t="s">
        <v>20</v>
      </c>
      <c r="J110" t="s">
        <v>490</v>
      </c>
      <c r="K110" t="s">
        <v>491</v>
      </c>
      <c r="L110" t="s">
        <v>492</v>
      </c>
      <c r="M110" t="s">
        <v>493</v>
      </c>
    </row>
    <row r="111" spans="1:13" x14ac:dyDescent="0.55000000000000004">
      <c r="A111" t="s">
        <v>1102</v>
      </c>
      <c r="B111" t="s">
        <v>1103</v>
      </c>
      <c r="C111" t="s">
        <v>1104</v>
      </c>
      <c r="D111">
        <v>62</v>
      </c>
      <c r="E111" t="s">
        <v>38</v>
      </c>
      <c r="F111" t="s">
        <v>39</v>
      </c>
      <c r="G111" t="s">
        <v>57</v>
      </c>
      <c r="H111" t="s">
        <v>1105</v>
      </c>
      <c r="I111" t="s">
        <v>20</v>
      </c>
      <c r="J111" t="s">
        <v>1106</v>
      </c>
      <c r="K111" t="s">
        <v>1107</v>
      </c>
      <c r="L111" t="s">
        <v>1108</v>
      </c>
      <c r="M111" t="s">
        <v>1109</v>
      </c>
    </row>
    <row r="112" spans="1:13" x14ac:dyDescent="0.55000000000000004">
      <c r="A112" t="s">
        <v>494</v>
      </c>
      <c r="B112" t="s">
        <v>495</v>
      </c>
      <c r="C112" t="s">
        <v>496</v>
      </c>
      <c r="D112">
        <v>70</v>
      </c>
      <c r="E112" t="s">
        <v>38</v>
      </c>
      <c r="F112" t="s">
        <v>39</v>
      </c>
      <c r="G112" t="s">
        <v>100</v>
      </c>
      <c r="H112" t="s">
        <v>497</v>
      </c>
      <c r="I112" t="s">
        <v>20</v>
      </c>
      <c r="J112" t="s">
        <v>498</v>
      </c>
      <c r="K112" t="s">
        <v>499</v>
      </c>
      <c r="L112" t="s">
        <v>500</v>
      </c>
      <c r="M112" t="s">
        <v>501</v>
      </c>
    </row>
    <row r="113" spans="1:13" x14ac:dyDescent="0.55000000000000004">
      <c r="A113" t="s">
        <v>1110</v>
      </c>
      <c r="B113" t="s">
        <v>1111</v>
      </c>
      <c r="C113" t="s">
        <v>1112</v>
      </c>
      <c r="D113">
        <v>70</v>
      </c>
      <c r="E113" t="s">
        <v>38</v>
      </c>
      <c r="F113" t="s">
        <v>39</v>
      </c>
      <c r="G113" t="s">
        <v>57</v>
      </c>
      <c r="H113" t="s">
        <v>1113</v>
      </c>
      <c r="I113" t="s">
        <v>20</v>
      </c>
      <c r="J113" t="s">
        <v>1114</v>
      </c>
      <c r="K113" t="s">
        <v>1115</v>
      </c>
      <c r="L113" t="s">
        <v>1116</v>
      </c>
      <c r="M113" t="s">
        <v>1117</v>
      </c>
    </row>
    <row r="114" spans="1:13" x14ac:dyDescent="0.55000000000000004">
      <c r="A114" t="s">
        <v>502</v>
      </c>
      <c r="B114" t="s">
        <v>503</v>
      </c>
      <c r="C114" t="s">
        <v>504</v>
      </c>
      <c r="D114">
        <v>78</v>
      </c>
      <c r="E114" t="s">
        <v>16</v>
      </c>
      <c r="F114" t="s">
        <v>17</v>
      </c>
      <c r="G114" t="s">
        <v>58</v>
      </c>
      <c r="H114" t="s">
        <v>505</v>
      </c>
      <c r="I114" t="s">
        <v>20</v>
      </c>
      <c r="J114" t="s">
        <v>506</v>
      </c>
      <c r="K114" t="s">
        <v>507</v>
      </c>
      <c r="L114" t="s">
        <v>508</v>
      </c>
      <c r="M114" t="s">
        <v>509</v>
      </c>
    </row>
    <row r="115" spans="1:13" x14ac:dyDescent="0.55000000000000004">
      <c r="A115" t="s">
        <v>1118</v>
      </c>
      <c r="B115" t="s">
        <v>1119</v>
      </c>
      <c r="C115" t="s">
        <v>1120</v>
      </c>
      <c r="D115">
        <v>78</v>
      </c>
      <c r="E115" t="s">
        <v>16</v>
      </c>
      <c r="F115" t="s">
        <v>17</v>
      </c>
      <c r="G115" t="s">
        <v>57</v>
      </c>
      <c r="H115" t="s">
        <v>1121</v>
      </c>
      <c r="I115" t="s">
        <v>20</v>
      </c>
      <c r="J115" t="s">
        <v>1122</v>
      </c>
      <c r="K115" t="s">
        <v>1123</v>
      </c>
      <c r="L115" t="s">
        <v>1124</v>
      </c>
      <c r="M115" t="s">
        <v>1125</v>
      </c>
    </row>
    <row r="116" spans="1:13" x14ac:dyDescent="0.55000000000000004">
      <c r="A116" t="s">
        <v>510</v>
      </c>
      <c r="B116" t="s">
        <v>511</v>
      </c>
      <c r="C116" t="s">
        <v>512</v>
      </c>
      <c r="D116">
        <v>70</v>
      </c>
      <c r="E116" t="s">
        <v>38</v>
      </c>
      <c r="F116" t="s">
        <v>39</v>
      </c>
      <c r="G116" t="s">
        <v>83</v>
      </c>
      <c r="H116" t="s">
        <v>513</v>
      </c>
      <c r="I116" t="s">
        <v>20</v>
      </c>
      <c r="J116" t="s">
        <v>514</v>
      </c>
      <c r="K116" t="s">
        <v>515</v>
      </c>
      <c r="L116" t="s">
        <v>516</v>
      </c>
      <c r="M116" t="s">
        <v>517</v>
      </c>
    </row>
    <row r="117" spans="1:13" x14ac:dyDescent="0.55000000000000004">
      <c r="A117" t="s">
        <v>1126</v>
      </c>
      <c r="B117" t="s">
        <v>1127</v>
      </c>
      <c r="C117" t="s">
        <v>1128</v>
      </c>
      <c r="D117">
        <v>70</v>
      </c>
      <c r="E117" t="s">
        <v>38</v>
      </c>
      <c r="F117" t="s">
        <v>39</v>
      </c>
      <c r="G117" t="s">
        <v>57</v>
      </c>
      <c r="H117" t="s">
        <v>1129</v>
      </c>
      <c r="I117" t="s">
        <v>20</v>
      </c>
      <c r="J117" t="s">
        <v>1130</v>
      </c>
      <c r="K117" t="s">
        <v>1131</v>
      </c>
      <c r="L117" t="s">
        <v>1132</v>
      </c>
      <c r="M117" t="s">
        <v>1133</v>
      </c>
    </row>
    <row r="118" spans="1:13" x14ac:dyDescent="0.55000000000000004">
      <c r="A118" t="s">
        <v>518</v>
      </c>
      <c r="B118" t="s">
        <v>519</v>
      </c>
      <c r="C118" t="s">
        <v>520</v>
      </c>
      <c r="D118">
        <v>65</v>
      </c>
      <c r="E118" t="s">
        <v>16</v>
      </c>
      <c r="F118" t="s">
        <v>17</v>
      </c>
      <c r="G118" t="s">
        <v>18</v>
      </c>
      <c r="H118" t="s">
        <v>521</v>
      </c>
      <c r="I118" t="s">
        <v>20</v>
      </c>
      <c r="J118" t="s">
        <v>522</v>
      </c>
      <c r="K118" t="s">
        <v>523</v>
      </c>
      <c r="L118" t="s">
        <v>524</v>
      </c>
      <c r="M118" t="s">
        <v>525</v>
      </c>
    </row>
    <row r="119" spans="1:13" x14ac:dyDescent="0.55000000000000004">
      <c r="A119" t="s">
        <v>1134</v>
      </c>
      <c r="B119" t="s">
        <v>1135</v>
      </c>
      <c r="C119" t="s">
        <v>1136</v>
      </c>
      <c r="D119">
        <v>65</v>
      </c>
      <c r="E119" t="s">
        <v>16</v>
      </c>
      <c r="F119" t="s">
        <v>17</v>
      </c>
      <c r="G119" t="s">
        <v>57</v>
      </c>
      <c r="H119" t="s">
        <v>1137</v>
      </c>
      <c r="I119" t="s">
        <v>20</v>
      </c>
      <c r="J119" t="s">
        <v>1138</v>
      </c>
      <c r="K119" t="s">
        <v>1139</v>
      </c>
      <c r="L119" t="s">
        <v>1140</v>
      </c>
      <c r="M119" t="s">
        <v>1141</v>
      </c>
    </row>
    <row r="120" spans="1:13" x14ac:dyDescent="0.55000000000000004">
      <c r="A120" t="s">
        <v>526</v>
      </c>
      <c r="B120" t="s">
        <v>527</v>
      </c>
      <c r="C120" t="s">
        <v>528</v>
      </c>
      <c r="D120">
        <v>63</v>
      </c>
      <c r="E120" t="s">
        <v>16</v>
      </c>
      <c r="F120" t="s">
        <v>39</v>
      </c>
      <c r="G120" t="s">
        <v>83</v>
      </c>
      <c r="H120" t="s">
        <v>529</v>
      </c>
      <c r="I120" t="s">
        <v>20</v>
      </c>
      <c r="J120" t="s">
        <v>530</v>
      </c>
      <c r="K120" t="s">
        <v>531</v>
      </c>
      <c r="L120" t="s">
        <v>532</v>
      </c>
      <c r="M120" t="s">
        <v>533</v>
      </c>
    </row>
    <row r="121" spans="1:13" x14ac:dyDescent="0.55000000000000004">
      <c r="A121" t="s">
        <v>1142</v>
      </c>
      <c r="B121" t="s">
        <v>1143</v>
      </c>
      <c r="C121" t="s">
        <v>1144</v>
      </c>
      <c r="D121">
        <v>63</v>
      </c>
      <c r="E121" t="s">
        <v>16</v>
      </c>
      <c r="F121" t="s">
        <v>39</v>
      </c>
      <c r="G121" t="s">
        <v>57</v>
      </c>
      <c r="H121" t="s">
        <v>1145</v>
      </c>
      <c r="I121" t="s">
        <v>20</v>
      </c>
      <c r="J121" t="s">
        <v>1146</v>
      </c>
      <c r="K121" t="s">
        <v>1147</v>
      </c>
      <c r="L121" t="s">
        <v>1148</v>
      </c>
      <c r="M121" t="s">
        <v>1149</v>
      </c>
    </row>
    <row r="122" spans="1:13" x14ac:dyDescent="0.55000000000000004">
      <c r="A122" t="s">
        <v>534</v>
      </c>
      <c r="B122" t="s">
        <v>535</v>
      </c>
      <c r="C122" t="s">
        <v>536</v>
      </c>
      <c r="D122">
        <v>59</v>
      </c>
      <c r="E122" t="s">
        <v>16</v>
      </c>
      <c r="F122" t="s">
        <v>28</v>
      </c>
      <c r="G122" t="s">
        <v>58</v>
      </c>
      <c r="H122" t="s">
        <v>537</v>
      </c>
      <c r="I122" t="s">
        <v>20</v>
      </c>
      <c r="J122" t="s">
        <v>538</v>
      </c>
      <c r="K122" t="s">
        <v>539</v>
      </c>
      <c r="L122" t="s">
        <v>540</v>
      </c>
      <c r="M122" t="s">
        <v>541</v>
      </c>
    </row>
    <row r="123" spans="1:13" x14ac:dyDescent="0.55000000000000004">
      <c r="A123" t="s">
        <v>1150</v>
      </c>
      <c r="B123" t="s">
        <v>1151</v>
      </c>
      <c r="C123" t="s">
        <v>1152</v>
      </c>
      <c r="D123">
        <v>59</v>
      </c>
      <c r="E123" t="s">
        <v>16</v>
      </c>
      <c r="F123" t="s">
        <v>28</v>
      </c>
      <c r="G123" t="s">
        <v>57</v>
      </c>
      <c r="H123" t="s">
        <v>1153</v>
      </c>
      <c r="I123" t="s">
        <v>20</v>
      </c>
      <c r="J123" t="s">
        <v>1154</v>
      </c>
      <c r="K123" t="s">
        <v>1155</v>
      </c>
      <c r="L123" t="s">
        <v>1156</v>
      </c>
      <c r="M123" t="s">
        <v>1157</v>
      </c>
    </row>
    <row r="124" spans="1:13" x14ac:dyDescent="0.55000000000000004">
      <c r="A124" t="s">
        <v>542</v>
      </c>
      <c r="B124" t="s">
        <v>543</v>
      </c>
      <c r="C124" t="s">
        <v>544</v>
      </c>
      <c r="D124">
        <v>66</v>
      </c>
      <c r="E124" t="s">
        <v>38</v>
      </c>
      <c r="F124" t="s">
        <v>39</v>
      </c>
      <c r="G124" t="s">
        <v>83</v>
      </c>
      <c r="H124" t="s">
        <v>545</v>
      </c>
      <c r="I124" t="s">
        <v>20</v>
      </c>
      <c r="J124" t="s">
        <v>546</v>
      </c>
      <c r="K124" t="s">
        <v>547</v>
      </c>
      <c r="L124" t="s">
        <v>548</v>
      </c>
      <c r="M124" t="s">
        <v>549</v>
      </c>
    </row>
    <row r="125" spans="1:13" x14ac:dyDescent="0.55000000000000004">
      <c r="A125" t="s">
        <v>1158</v>
      </c>
      <c r="B125" t="s">
        <v>1159</v>
      </c>
      <c r="C125" t="s">
        <v>1160</v>
      </c>
      <c r="D125">
        <v>66</v>
      </c>
      <c r="E125" t="s">
        <v>38</v>
      </c>
      <c r="F125" t="s">
        <v>39</v>
      </c>
      <c r="G125" t="s">
        <v>57</v>
      </c>
      <c r="H125" t="s">
        <v>1161</v>
      </c>
      <c r="I125" t="s">
        <v>20</v>
      </c>
      <c r="J125" t="s">
        <v>1162</v>
      </c>
      <c r="K125" t="s">
        <v>1163</v>
      </c>
      <c r="L125" t="s">
        <v>1164</v>
      </c>
      <c r="M125" t="s">
        <v>1165</v>
      </c>
    </row>
    <row r="126" spans="1:13" x14ac:dyDescent="0.55000000000000004">
      <c r="A126" t="s">
        <v>550</v>
      </c>
      <c r="B126" t="s">
        <v>551</v>
      </c>
      <c r="C126" t="s">
        <v>552</v>
      </c>
      <c r="D126">
        <v>56</v>
      </c>
      <c r="E126" t="s">
        <v>16</v>
      </c>
      <c r="F126" t="s">
        <v>17</v>
      </c>
      <c r="G126" t="s">
        <v>29</v>
      </c>
      <c r="H126" t="s">
        <v>553</v>
      </c>
      <c r="I126" t="s">
        <v>20</v>
      </c>
      <c r="J126" t="s">
        <v>554</v>
      </c>
      <c r="K126" t="s">
        <v>555</v>
      </c>
      <c r="L126" t="s">
        <v>556</v>
      </c>
      <c r="M126" t="s">
        <v>557</v>
      </c>
    </row>
    <row r="127" spans="1:13" x14ac:dyDescent="0.55000000000000004">
      <c r="A127" t="s">
        <v>1166</v>
      </c>
      <c r="B127" t="s">
        <v>1167</v>
      </c>
      <c r="C127" t="s">
        <v>1168</v>
      </c>
      <c r="D127">
        <v>56</v>
      </c>
      <c r="E127" t="s">
        <v>16</v>
      </c>
      <c r="F127" t="s">
        <v>17</v>
      </c>
      <c r="G127" t="s">
        <v>57</v>
      </c>
      <c r="H127" t="s">
        <v>1169</v>
      </c>
      <c r="I127" t="s">
        <v>20</v>
      </c>
      <c r="J127" t="s">
        <v>1170</v>
      </c>
      <c r="K127" t="s">
        <v>1171</v>
      </c>
      <c r="L127" t="s">
        <v>1172</v>
      </c>
      <c r="M127" t="s">
        <v>1173</v>
      </c>
    </row>
    <row r="128" spans="1:13" x14ac:dyDescent="0.55000000000000004">
      <c r="A128" t="s">
        <v>558</v>
      </c>
      <c r="B128" t="s">
        <v>559</v>
      </c>
      <c r="C128" t="s">
        <v>560</v>
      </c>
      <c r="D128">
        <v>64</v>
      </c>
      <c r="E128" t="s">
        <v>16</v>
      </c>
      <c r="F128" t="s">
        <v>17</v>
      </c>
      <c r="G128" t="s">
        <v>18</v>
      </c>
      <c r="H128" t="s">
        <v>561</v>
      </c>
      <c r="I128" t="s">
        <v>20</v>
      </c>
      <c r="J128" t="s">
        <v>562</v>
      </c>
      <c r="K128" t="s">
        <v>563</v>
      </c>
      <c r="L128" t="s">
        <v>564</v>
      </c>
      <c r="M128" t="s">
        <v>565</v>
      </c>
    </row>
    <row r="129" spans="1:13" x14ac:dyDescent="0.55000000000000004">
      <c r="A129" t="s">
        <v>1174</v>
      </c>
      <c r="B129" t="s">
        <v>1175</v>
      </c>
      <c r="C129" t="s">
        <v>1176</v>
      </c>
      <c r="D129">
        <v>64</v>
      </c>
      <c r="E129" t="s">
        <v>16</v>
      </c>
      <c r="F129" t="s">
        <v>17</v>
      </c>
      <c r="G129" t="s">
        <v>57</v>
      </c>
      <c r="H129" t="s">
        <v>1177</v>
      </c>
      <c r="I129" t="s">
        <v>20</v>
      </c>
      <c r="J129" t="s">
        <v>1178</v>
      </c>
      <c r="K129" t="s">
        <v>1179</v>
      </c>
      <c r="L129" t="s">
        <v>1180</v>
      </c>
      <c r="M129" t="s">
        <v>1181</v>
      </c>
    </row>
    <row r="130" spans="1:13" x14ac:dyDescent="0.55000000000000004">
      <c r="A130" t="s">
        <v>566</v>
      </c>
      <c r="B130" t="s">
        <v>567</v>
      </c>
      <c r="C130" t="s">
        <v>568</v>
      </c>
      <c r="D130">
        <v>66</v>
      </c>
      <c r="E130" t="s">
        <v>38</v>
      </c>
      <c r="F130" t="s">
        <v>39</v>
      </c>
      <c r="G130" t="s">
        <v>18</v>
      </c>
      <c r="H130" t="s">
        <v>569</v>
      </c>
      <c r="I130" t="s">
        <v>20</v>
      </c>
      <c r="J130" t="s">
        <v>570</v>
      </c>
      <c r="K130" t="s">
        <v>571</v>
      </c>
      <c r="L130" t="s">
        <v>572</v>
      </c>
      <c r="M130" t="s">
        <v>573</v>
      </c>
    </row>
    <row r="131" spans="1:13" x14ac:dyDescent="0.55000000000000004">
      <c r="A131" t="s">
        <v>1182</v>
      </c>
      <c r="B131" t="s">
        <v>1183</v>
      </c>
      <c r="C131" t="s">
        <v>1184</v>
      </c>
      <c r="D131">
        <v>66</v>
      </c>
      <c r="E131" t="s">
        <v>38</v>
      </c>
      <c r="F131" t="s">
        <v>39</v>
      </c>
      <c r="G131" t="s">
        <v>57</v>
      </c>
      <c r="H131" t="s">
        <v>1185</v>
      </c>
      <c r="I131" t="s">
        <v>20</v>
      </c>
      <c r="J131" t="s">
        <v>1186</v>
      </c>
      <c r="K131" t="s">
        <v>1187</v>
      </c>
      <c r="L131" t="s">
        <v>1188</v>
      </c>
      <c r="M131" t="s">
        <v>1189</v>
      </c>
    </row>
    <row r="132" spans="1:13" x14ac:dyDescent="0.55000000000000004">
      <c r="A132" t="s">
        <v>574</v>
      </c>
      <c r="B132" t="s">
        <v>575</v>
      </c>
      <c r="C132" t="s">
        <v>576</v>
      </c>
      <c r="D132">
        <v>45</v>
      </c>
      <c r="E132" t="s">
        <v>38</v>
      </c>
      <c r="F132" t="s">
        <v>39</v>
      </c>
      <c r="G132" t="s">
        <v>83</v>
      </c>
      <c r="H132" t="s">
        <v>577</v>
      </c>
      <c r="I132" t="s">
        <v>20</v>
      </c>
      <c r="J132" t="s">
        <v>578</v>
      </c>
      <c r="K132" t="s">
        <v>579</v>
      </c>
      <c r="L132" t="s">
        <v>580</v>
      </c>
      <c r="M132" t="s">
        <v>581</v>
      </c>
    </row>
    <row r="133" spans="1:13" x14ac:dyDescent="0.55000000000000004">
      <c r="A133" t="s">
        <v>1190</v>
      </c>
      <c r="B133" t="s">
        <v>1191</v>
      </c>
      <c r="C133" t="s">
        <v>1192</v>
      </c>
      <c r="D133">
        <v>45</v>
      </c>
      <c r="E133" t="s">
        <v>38</v>
      </c>
      <c r="F133" t="s">
        <v>39</v>
      </c>
      <c r="G133" t="s">
        <v>57</v>
      </c>
      <c r="H133" t="s">
        <v>1193</v>
      </c>
      <c r="I133" t="s">
        <v>20</v>
      </c>
      <c r="J133" t="s">
        <v>1194</v>
      </c>
      <c r="K133" t="s">
        <v>1195</v>
      </c>
      <c r="L133" t="s">
        <v>1196</v>
      </c>
      <c r="M133" t="s">
        <v>1197</v>
      </c>
    </row>
    <row r="134" spans="1:13" x14ac:dyDescent="0.55000000000000004">
      <c r="A134" t="s">
        <v>582</v>
      </c>
      <c r="B134" t="s">
        <v>583</v>
      </c>
      <c r="C134" t="s">
        <v>584</v>
      </c>
      <c r="D134">
        <v>82</v>
      </c>
      <c r="E134" t="s">
        <v>16</v>
      </c>
      <c r="F134" t="s">
        <v>17</v>
      </c>
      <c r="G134">
        <v>4</v>
      </c>
      <c r="H134" t="s">
        <v>585</v>
      </c>
      <c r="I134" t="s">
        <v>20</v>
      </c>
      <c r="J134" t="s">
        <v>586</v>
      </c>
      <c r="K134" t="s">
        <v>587</v>
      </c>
      <c r="L134" t="s">
        <v>588</v>
      </c>
      <c r="M134" t="s">
        <v>589</v>
      </c>
    </row>
    <row r="135" spans="1:13" x14ac:dyDescent="0.55000000000000004">
      <c r="A135" t="s">
        <v>1198</v>
      </c>
      <c r="B135" t="s">
        <v>1199</v>
      </c>
      <c r="C135" t="s">
        <v>1200</v>
      </c>
      <c r="D135">
        <v>82</v>
      </c>
      <c r="E135" t="s">
        <v>16</v>
      </c>
      <c r="F135" t="s">
        <v>17</v>
      </c>
      <c r="G135" t="s">
        <v>57</v>
      </c>
      <c r="H135" t="s">
        <v>1201</v>
      </c>
      <c r="I135" t="s">
        <v>20</v>
      </c>
      <c r="J135" t="s">
        <v>1202</v>
      </c>
      <c r="K135" t="s">
        <v>1203</v>
      </c>
      <c r="L135" t="s">
        <v>1204</v>
      </c>
      <c r="M135" t="s">
        <v>1205</v>
      </c>
    </row>
    <row r="136" spans="1:13" x14ac:dyDescent="0.55000000000000004">
      <c r="A136" t="s">
        <v>590</v>
      </c>
      <c r="B136" t="s">
        <v>591</v>
      </c>
      <c r="C136" t="s">
        <v>592</v>
      </c>
      <c r="D136">
        <v>74</v>
      </c>
      <c r="E136" t="s">
        <v>38</v>
      </c>
      <c r="F136" t="s">
        <v>39</v>
      </c>
      <c r="G136" t="s">
        <v>83</v>
      </c>
      <c r="H136" t="s">
        <v>593</v>
      </c>
      <c r="I136" t="s">
        <v>20</v>
      </c>
      <c r="J136" t="s">
        <v>594</v>
      </c>
      <c r="K136" t="s">
        <v>595</v>
      </c>
      <c r="L136" t="s">
        <v>596</v>
      </c>
      <c r="M136" t="s">
        <v>597</v>
      </c>
    </row>
    <row r="137" spans="1:13" x14ac:dyDescent="0.55000000000000004">
      <c r="A137" t="s">
        <v>1206</v>
      </c>
      <c r="B137" t="s">
        <v>1207</v>
      </c>
      <c r="C137" t="s">
        <v>1208</v>
      </c>
      <c r="D137">
        <v>74</v>
      </c>
      <c r="E137" t="s">
        <v>38</v>
      </c>
      <c r="F137" t="s">
        <v>39</v>
      </c>
      <c r="G137" t="s">
        <v>57</v>
      </c>
      <c r="H137" t="s">
        <v>1209</v>
      </c>
      <c r="I137" t="s">
        <v>20</v>
      </c>
      <c r="J137" t="s">
        <v>1210</v>
      </c>
      <c r="K137" t="s">
        <v>1211</v>
      </c>
      <c r="L137" t="s">
        <v>1212</v>
      </c>
      <c r="M137" t="s">
        <v>1213</v>
      </c>
    </row>
    <row r="138" spans="1:13" x14ac:dyDescent="0.55000000000000004">
      <c r="A138" t="s">
        <v>598</v>
      </c>
      <c r="B138" t="s">
        <v>599</v>
      </c>
      <c r="C138" t="s">
        <v>600</v>
      </c>
      <c r="D138">
        <v>69</v>
      </c>
      <c r="E138" t="s">
        <v>16</v>
      </c>
      <c r="F138" t="s">
        <v>17</v>
      </c>
      <c r="G138" t="s">
        <v>29</v>
      </c>
      <c r="H138" t="s">
        <v>601</v>
      </c>
      <c r="I138" t="s">
        <v>20</v>
      </c>
      <c r="J138" t="s">
        <v>602</v>
      </c>
      <c r="K138" t="s">
        <v>603</v>
      </c>
      <c r="L138" t="s">
        <v>604</v>
      </c>
      <c r="M138" t="s">
        <v>605</v>
      </c>
    </row>
    <row r="139" spans="1:13" x14ac:dyDescent="0.55000000000000004">
      <c r="A139" t="s">
        <v>1214</v>
      </c>
      <c r="B139" t="s">
        <v>1215</v>
      </c>
      <c r="C139" t="s">
        <v>1216</v>
      </c>
      <c r="D139">
        <v>69</v>
      </c>
      <c r="E139" t="s">
        <v>16</v>
      </c>
      <c r="F139" t="s">
        <v>17</v>
      </c>
      <c r="G139" t="s">
        <v>57</v>
      </c>
      <c r="H139" t="s">
        <v>1217</v>
      </c>
      <c r="I139" t="s">
        <v>20</v>
      </c>
      <c r="J139" t="s">
        <v>1218</v>
      </c>
      <c r="K139" t="s">
        <v>1219</v>
      </c>
      <c r="L139" t="s">
        <v>1220</v>
      </c>
      <c r="M139" t="s">
        <v>1221</v>
      </c>
    </row>
    <row r="140" spans="1:13" x14ac:dyDescent="0.55000000000000004">
      <c r="A140" t="s">
        <v>606</v>
      </c>
      <c r="B140" t="s">
        <v>607</v>
      </c>
      <c r="C140" t="s">
        <v>608</v>
      </c>
      <c r="D140">
        <v>65</v>
      </c>
      <c r="E140" t="s">
        <v>16</v>
      </c>
      <c r="F140" t="s">
        <v>28</v>
      </c>
      <c r="G140" t="s">
        <v>58</v>
      </c>
      <c r="H140" t="s">
        <v>609</v>
      </c>
      <c r="I140" t="s">
        <v>20</v>
      </c>
      <c r="J140" t="s">
        <v>610</v>
      </c>
      <c r="K140" t="s">
        <v>611</v>
      </c>
      <c r="L140" t="s">
        <v>612</v>
      </c>
      <c r="M140" t="s">
        <v>613</v>
      </c>
    </row>
    <row r="141" spans="1:13" x14ac:dyDescent="0.55000000000000004">
      <c r="A141" t="s">
        <v>1222</v>
      </c>
      <c r="B141" t="s">
        <v>1223</v>
      </c>
      <c r="C141" t="s">
        <v>1224</v>
      </c>
      <c r="D141">
        <v>65</v>
      </c>
      <c r="E141" t="s">
        <v>16</v>
      </c>
      <c r="F141" t="s">
        <v>28</v>
      </c>
      <c r="G141" t="s">
        <v>57</v>
      </c>
      <c r="H141" t="s">
        <v>1225</v>
      </c>
      <c r="I141" t="s">
        <v>20</v>
      </c>
      <c r="J141" t="s">
        <v>1226</v>
      </c>
      <c r="K141" t="s">
        <v>1227</v>
      </c>
      <c r="L141" t="s">
        <v>1228</v>
      </c>
      <c r="M141" t="s">
        <v>1229</v>
      </c>
    </row>
    <row r="142" spans="1:13" x14ac:dyDescent="0.55000000000000004">
      <c r="A142" t="s">
        <v>614</v>
      </c>
      <c r="B142" t="s">
        <v>615</v>
      </c>
      <c r="C142" t="s">
        <v>616</v>
      </c>
      <c r="D142">
        <v>58</v>
      </c>
      <c r="E142" t="s">
        <v>16</v>
      </c>
      <c r="F142" t="s">
        <v>17</v>
      </c>
      <c r="G142" t="s">
        <v>29</v>
      </c>
      <c r="H142" t="s">
        <v>617</v>
      </c>
      <c r="I142" t="s">
        <v>20</v>
      </c>
      <c r="J142" t="s">
        <v>618</v>
      </c>
      <c r="K142" t="s">
        <v>619</v>
      </c>
      <c r="L142" t="s">
        <v>620</v>
      </c>
      <c r="M142" t="s">
        <v>621</v>
      </c>
    </row>
    <row r="143" spans="1:13" x14ac:dyDescent="0.55000000000000004">
      <c r="A143" t="s">
        <v>1230</v>
      </c>
      <c r="B143" t="s">
        <v>1231</v>
      </c>
      <c r="C143" t="s">
        <v>1232</v>
      </c>
      <c r="D143">
        <v>58</v>
      </c>
      <c r="E143" t="s">
        <v>16</v>
      </c>
      <c r="F143" t="s">
        <v>17</v>
      </c>
      <c r="G143" t="s">
        <v>57</v>
      </c>
      <c r="H143" t="s">
        <v>1233</v>
      </c>
      <c r="I143" t="s">
        <v>20</v>
      </c>
      <c r="J143" t="s">
        <v>1234</v>
      </c>
      <c r="K143" t="s">
        <v>1235</v>
      </c>
      <c r="L143" t="s">
        <v>1236</v>
      </c>
      <c r="M143" t="s">
        <v>1237</v>
      </c>
    </row>
    <row r="144" spans="1:13" x14ac:dyDescent="0.55000000000000004">
      <c r="A144" t="s">
        <v>622</v>
      </c>
      <c r="B144" t="s">
        <v>623</v>
      </c>
      <c r="C144" t="s">
        <v>624</v>
      </c>
      <c r="D144">
        <v>47</v>
      </c>
      <c r="E144" t="s">
        <v>16</v>
      </c>
      <c r="F144" t="s">
        <v>28</v>
      </c>
      <c r="G144" t="s">
        <v>29</v>
      </c>
      <c r="H144" t="s">
        <v>625</v>
      </c>
      <c r="I144" t="s">
        <v>20</v>
      </c>
      <c r="J144" t="s">
        <v>626</v>
      </c>
      <c r="K144" t="s">
        <v>627</v>
      </c>
      <c r="L144" t="s">
        <v>628</v>
      </c>
      <c r="M144" t="s">
        <v>629</v>
      </c>
    </row>
    <row r="145" spans="1:13" x14ac:dyDescent="0.55000000000000004">
      <c r="A145" t="s">
        <v>1238</v>
      </c>
      <c r="B145" t="s">
        <v>1239</v>
      </c>
      <c r="C145" t="s">
        <v>1240</v>
      </c>
      <c r="D145">
        <v>47</v>
      </c>
      <c r="E145" t="s">
        <v>16</v>
      </c>
      <c r="F145" t="s">
        <v>28</v>
      </c>
      <c r="G145" t="s">
        <v>57</v>
      </c>
      <c r="H145" t="s">
        <v>1241</v>
      </c>
      <c r="I145" t="s">
        <v>20</v>
      </c>
      <c r="J145" t="s">
        <v>1242</v>
      </c>
      <c r="K145" t="s">
        <v>1243</v>
      </c>
      <c r="L145" t="s">
        <v>1244</v>
      </c>
      <c r="M145" t="s">
        <v>1245</v>
      </c>
    </row>
    <row r="146" spans="1:13" x14ac:dyDescent="0.55000000000000004">
      <c r="A146" t="s">
        <v>630</v>
      </c>
      <c r="B146" t="s">
        <v>631</v>
      </c>
      <c r="C146" t="s">
        <v>632</v>
      </c>
      <c r="D146">
        <v>55</v>
      </c>
      <c r="E146" t="s">
        <v>38</v>
      </c>
      <c r="F146" t="s">
        <v>17</v>
      </c>
      <c r="G146" t="s">
        <v>58</v>
      </c>
      <c r="H146" t="s">
        <v>633</v>
      </c>
      <c r="I146" t="s">
        <v>20</v>
      </c>
      <c r="J146" t="s">
        <v>634</v>
      </c>
      <c r="K146" t="s">
        <v>635</v>
      </c>
      <c r="L146" t="s">
        <v>636</v>
      </c>
      <c r="M146" t="s">
        <v>637</v>
      </c>
    </row>
    <row r="147" spans="1:13" x14ac:dyDescent="0.55000000000000004">
      <c r="A147" t="s">
        <v>1246</v>
      </c>
      <c r="B147" t="s">
        <v>1247</v>
      </c>
      <c r="C147" t="s">
        <v>1248</v>
      </c>
      <c r="D147">
        <v>55</v>
      </c>
      <c r="E147" t="s">
        <v>38</v>
      </c>
      <c r="F147" t="s">
        <v>17</v>
      </c>
      <c r="G147" t="s">
        <v>57</v>
      </c>
      <c r="H147" t="s">
        <v>1249</v>
      </c>
      <c r="I147" t="s">
        <v>20</v>
      </c>
      <c r="J147" t="s">
        <v>1250</v>
      </c>
      <c r="K147" t="s">
        <v>1251</v>
      </c>
      <c r="L147" t="s">
        <v>1252</v>
      </c>
      <c r="M147" t="s">
        <v>1253</v>
      </c>
    </row>
    <row r="148" spans="1:13" x14ac:dyDescent="0.55000000000000004">
      <c r="A148" t="s">
        <v>638</v>
      </c>
      <c r="B148" t="s">
        <v>639</v>
      </c>
      <c r="C148" t="s">
        <v>640</v>
      </c>
      <c r="D148">
        <v>62</v>
      </c>
      <c r="E148" t="s">
        <v>38</v>
      </c>
      <c r="F148" t="s">
        <v>39</v>
      </c>
      <c r="G148" t="s">
        <v>48</v>
      </c>
      <c r="H148" t="s">
        <v>641</v>
      </c>
      <c r="I148" t="s">
        <v>20</v>
      </c>
      <c r="J148" t="s">
        <v>642</v>
      </c>
      <c r="K148" t="s">
        <v>643</v>
      </c>
      <c r="L148" t="s">
        <v>644</v>
      </c>
      <c r="M148" t="s">
        <v>645</v>
      </c>
    </row>
    <row r="149" spans="1:13" x14ac:dyDescent="0.55000000000000004">
      <c r="A149" t="s">
        <v>1254</v>
      </c>
      <c r="B149" t="s">
        <v>1255</v>
      </c>
      <c r="C149" t="s">
        <v>1256</v>
      </c>
      <c r="D149">
        <v>62</v>
      </c>
      <c r="E149" t="s">
        <v>38</v>
      </c>
      <c r="F149" t="s">
        <v>39</v>
      </c>
      <c r="G149" t="s">
        <v>57</v>
      </c>
      <c r="H149" t="s">
        <v>1257</v>
      </c>
      <c r="I149" t="s">
        <v>20</v>
      </c>
      <c r="J149" t="s">
        <v>1258</v>
      </c>
      <c r="K149" t="s">
        <v>1259</v>
      </c>
      <c r="L149" t="s">
        <v>1260</v>
      </c>
      <c r="M149" t="s">
        <v>1261</v>
      </c>
    </row>
    <row r="150" spans="1:13" x14ac:dyDescent="0.55000000000000004">
      <c r="A150" t="s">
        <v>646</v>
      </c>
      <c r="B150" t="s">
        <v>647</v>
      </c>
      <c r="C150" t="s">
        <v>648</v>
      </c>
      <c r="D150">
        <v>68</v>
      </c>
      <c r="E150" t="s">
        <v>38</v>
      </c>
      <c r="F150" t="s">
        <v>39</v>
      </c>
      <c r="G150" t="s">
        <v>83</v>
      </c>
      <c r="H150" t="s">
        <v>649</v>
      </c>
      <c r="I150" t="s">
        <v>20</v>
      </c>
      <c r="J150" t="s">
        <v>650</v>
      </c>
      <c r="K150" t="s">
        <v>651</v>
      </c>
      <c r="L150" t="s">
        <v>652</v>
      </c>
      <c r="M150" t="s">
        <v>653</v>
      </c>
    </row>
    <row r="151" spans="1:13" x14ac:dyDescent="0.55000000000000004">
      <c r="A151" t="s">
        <v>1262</v>
      </c>
      <c r="B151" t="s">
        <v>1263</v>
      </c>
      <c r="C151" t="s">
        <v>1264</v>
      </c>
      <c r="D151">
        <v>68</v>
      </c>
      <c r="E151" t="s">
        <v>38</v>
      </c>
      <c r="F151" t="s">
        <v>39</v>
      </c>
      <c r="G151" t="s">
        <v>57</v>
      </c>
      <c r="H151" t="s">
        <v>1265</v>
      </c>
      <c r="I151" t="s">
        <v>20</v>
      </c>
      <c r="J151" t="s">
        <v>1266</v>
      </c>
      <c r="K151" t="s">
        <v>1267</v>
      </c>
      <c r="L151" t="s">
        <v>1268</v>
      </c>
      <c r="M151" t="s">
        <v>1269</v>
      </c>
    </row>
    <row r="152" spans="1:13" x14ac:dyDescent="0.55000000000000004">
      <c r="A152" t="s">
        <v>654</v>
      </c>
      <c r="B152" t="s">
        <v>655</v>
      </c>
      <c r="C152" t="s">
        <v>656</v>
      </c>
      <c r="D152">
        <v>75</v>
      </c>
      <c r="E152" t="s">
        <v>38</v>
      </c>
      <c r="F152" t="s">
        <v>39</v>
      </c>
      <c r="G152" t="s">
        <v>18</v>
      </c>
      <c r="H152" t="s">
        <v>657</v>
      </c>
      <c r="I152" t="s">
        <v>20</v>
      </c>
      <c r="J152" t="s">
        <v>658</v>
      </c>
      <c r="K152" t="s">
        <v>659</v>
      </c>
      <c r="L152" t="s">
        <v>660</v>
      </c>
      <c r="M152" t="s">
        <v>661</v>
      </c>
    </row>
    <row r="153" spans="1:13" x14ac:dyDescent="0.55000000000000004">
      <c r="A153" t="s">
        <v>1270</v>
      </c>
      <c r="B153" t="s">
        <v>1271</v>
      </c>
      <c r="C153" t="s">
        <v>1272</v>
      </c>
      <c r="D153">
        <v>75</v>
      </c>
      <c r="E153" t="s">
        <v>38</v>
      </c>
      <c r="F153" t="s">
        <v>39</v>
      </c>
      <c r="G153" t="s">
        <v>57</v>
      </c>
      <c r="H153" t="s">
        <v>1273</v>
      </c>
      <c r="I153" t="s">
        <v>20</v>
      </c>
      <c r="J153" t="s">
        <v>1274</v>
      </c>
      <c r="K153" t="s">
        <v>1275</v>
      </c>
      <c r="L153" t="s">
        <v>1276</v>
      </c>
      <c r="M153" t="s">
        <v>1277</v>
      </c>
    </row>
    <row r="154" spans="1:13" x14ac:dyDescent="0.55000000000000004">
      <c r="A154" t="s">
        <v>662</v>
      </c>
      <c r="B154" t="s">
        <v>663</v>
      </c>
      <c r="C154" t="s">
        <v>664</v>
      </c>
      <c r="D154">
        <v>72</v>
      </c>
      <c r="E154" t="s">
        <v>16</v>
      </c>
      <c r="F154" t="s">
        <v>39</v>
      </c>
      <c r="G154" t="s">
        <v>18</v>
      </c>
      <c r="H154" t="s">
        <v>665</v>
      </c>
      <c r="I154" t="s">
        <v>20</v>
      </c>
      <c r="J154" t="s">
        <v>666</v>
      </c>
      <c r="K154" t="s">
        <v>667</v>
      </c>
      <c r="L154" t="s">
        <v>668</v>
      </c>
      <c r="M154" t="s">
        <v>669</v>
      </c>
    </row>
    <row r="155" spans="1:13" x14ac:dyDescent="0.55000000000000004">
      <c r="A155" t="s">
        <v>1278</v>
      </c>
      <c r="B155" t="s">
        <v>1279</v>
      </c>
      <c r="C155" t="s">
        <v>1280</v>
      </c>
      <c r="D155">
        <v>72</v>
      </c>
      <c r="E155" t="s">
        <v>16</v>
      </c>
      <c r="F155" t="s">
        <v>39</v>
      </c>
      <c r="G155" t="s">
        <v>57</v>
      </c>
      <c r="H155" t="s">
        <v>1281</v>
      </c>
      <c r="I155" t="s">
        <v>20</v>
      </c>
      <c r="J155" t="s">
        <v>1282</v>
      </c>
      <c r="K155" t="s">
        <v>1283</v>
      </c>
      <c r="L155" t="s">
        <v>1284</v>
      </c>
      <c r="M155" t="s">
        <v>1285</v>
      </c>
    </row>
    <row r="156" spans="1:13" x14ac:dyDescent="0.55000000000000004">
      <c r="A156" t="s">
        <v>670</v>
      </c>
      <c r="B156" t="s">
        <v>671</v>
      </c>
      <c r="C156" t="s">
        <v>672</v>
      </c>
      <c r="D156">
        <v>66</v>
      </c>
      <c r="E156" t="s">
        <v>16</v>
      </c>
      <c r="F156" t="s">
        <v>39</v>
      </c>
      <c r="G156" t="s">
        <v>83</v>
      </c>
      <c r="H156" t="s">
        <v>673</v>
      </c>
      <c r="I156" t="s">
        <v>20</v>
      </c>
      <c r="J156" t="s">
        <v>674</v>
      </c>
      <c r="K156" t="s">
        <v>675</v>
      </c>
      <c r="L156" t="s">
        <v>676</v>
      </c>
      <c r="M156" t="s">
        <v>677</v>
      </c>
    </row>
    <row r="157" spans="1:13" x14ac:dyDescent="0.55000000000000004">
      <c r="A157" t="s">
        <v>1286</v>
      </c>
      <c r="B157" t="s">
        <v>1287</v>
      </c>
      <c r="C157" t="s">
        <v>1288</v>
      </c>
      <c r="D157">
        <v>66</v>
      </c>
      <c r="E157" t="s">
        <v>16</v>
      </c>
      <c r="F157" t="s">
        <v>39</v>
      </c>
      <c r="G157" t="s">
        <v>57</v>
      </c>
      <c r="H157" t="s">
        <v>1289</v>
      </c>
      <c r="I157" t="s">
        <v>20</v>
      </c>
      <c r="J157" t="s">
        <v>1290</v>
      </c>
      <c r="K157" t="s">
        <v>1291</v>
      </c>
      <c r="L157" t="s">
        <v>1292</v>
      </c>
      <c r="M157" t="s">
        <v>1293</v>
      </c>
    </row>
    <row r="158" spans="1:13" x14ac:dyDescent="0.55000000000000004">
      <c r="A158" t="s">
        <v>678</v>
      </c>
      <c r="B158" t="s">
        <v>679</v>
      </c>
      <c r="C158" t="s">
        <v>680</v>
      </c>
      <c r="D158">
        <v>75</v>
      </c>
      <c r="E158" t="s">
        <v>38</v>
      </c>
      <c r="F158" t="s">
        <v>39</v>
      </c>
      <c r="G158" t="s">
        <v>48</v>
      </c>
      <c r="H158" t="s">
        <v>681</v>
      </c>
      <c r="I158" t="s">
        <v>20</v>
      </c>
      <c r="J158" t="s">
        <v>682</v>
      </c>
      <c r="K158" t="s">
        <v>683</v>
      </c>
      <c r="L158" t="s">
        <v>684</v>
      </c>
      <c r="M158" t="s">
        <v>685</v>
      </c>
    </row>
    <row r="159" spans="1:13" x14ac:dyDescent="0.55000000000000004">
      <c r="A159" t="s">
        <v>1294</v>
      </c>
      <c r="B159" t="s">
        <v>1295</v>
      </c>
      <c r="C159" t="s">
        <v>1296</v>
      </c>
      <c r="D159">
        <v>75</v>
      </c>
      <c r="E159" t="s">
        <v>38</v>
      </c>
      <c r="F159" t="s">
        <v>39</v>
      </c>
      <c r="G159" t="s">
        <v>57</v>
      </c>
      <c r="H159" t="s">
        <v>1297</v>
      </c>
      <c r="I159" t="s">
        <v>20</v>
      </c>
      <c r="J159" t="s">
        <v>1298</v>
      </c>
      <c r="K159" t="s">
        <v>1299</v>
      </c>
      <c r="L159" t="s">
        <v>1300</v>
      </c>
      <c r="M159" t="s">
        <v>1301</v>
      </c>
    </row>
    <row r="160" spans="1:13" x14ac:dyDescent="0.55000000000000004">
      <c r="A160" t="s">
        <v>686</v>
      </c>
      <c r="B160" t="s">
        <v>687</v>
      </c>
      <c r="C160" t="s">
        <v>688</v>
      </c>
      <c r="D160">
        <v>48</v>
      </c>
      <c r="E160" t="s">
        <v>38</v>
      </c>
      <c r="F160" t="s">
        <v>39</v>
      </c>
      <c r="G160" t="s">
        <v>83</v>
      </c>
      <c r="H160" t="s">
        <v>689</v>
      </c>
      <c r="I160" t="s">
        <v>20</v>
      </c>
      <c r="J160" t="s">
        <v>690</v>
      </c>
      <c r="K160" t="s">
        <v>691</v>
      </c>
      <c r="L160" t="s">
        <v>692</v>
      </c>
      <c r="M160" t="s">
        <v>693</v>
      </c>
    </row>
    <row r="161" spans="1:13" x14ac:dyDescent="0.55000000000000004">
      <c r="A161" t="s">
        <v>1302</v>
      </c>
      <c r="B161" t="s">
        <v>1303</v>
      </c>
      <c r="C161" t="s">
        <v>1304</v>
      </c>
      <c r="D161">
        <v>48</v>
      </c>
      <c r="E161" t="s">
        <v>38</v>
      </c>
      <c r="F161" t="s">
        <v>39</v>
      </c>
      <c r="G161" t="s">
        <v>57</v>
      </c>
      <c r="H161" t="s">
        <v>1305</v>
      </c>
      <c r="I161" t="s">
        <v>20</v>
      </c>
      <c r="J161" t="s">
        <v>1306</v>
      </c>
      <c r="K161" t="s">
        <v>1307</v>
      </c>
      <c r="L161" t="s">
        <v>1308</v>
      </c>
      <c r="M161" t="s">
        <v>1309</v>
      </c>
    </row>
    <row r="162" spans="1:13" x14ac:dyDescent="0.55000000000000004">
      <c r="A162" t="s">
        <v>694</v>
      </c>
      <c r="B162" t="s">
        <v>695</v>
      </c>
      <c r="C162" t="s">
        <v>696</v>
      </c>
      <c r="D162">
        <v>66</v>
      </c>
      <c r="E162" t="s">
        <v>38</v>
      </c>
      <c r="F162" t="s">
        <v>39</v>
      </c>
      <c r="G162" t="s">
        <v>18</v>
      </c>
      <c r="H162" t="s">
        <v>697</v>
      </c>
      <c r="I162" t="s">
        <v>20</v>
      </c>
      <c r="J162" t="s">
        <v>698</v>
      </c>
      <c r="K162" t="s">
        <v>699</v>
      </c>
      <c r="L162" t="s">
        <v>700</v>
      </c>
      <c r="M162" t="s">
        <v>701</v>
      </c>
    </row>
    <row r="163" spans="1:13" x14ac:dyDescent="0.55000000000000004">
      <c r="A163" t="s">
        <v>1310</v>
      </c>
      <c r="B163" t="s">
        <v>1311</v>
      </c>
      <c r="C163" t="s">
        <v>1312</v>
      </c>
      <c r="D163">
        <v>66</v>
      </c>
      <c r="E163" t="s">
        <v>38</v>
      </c>
      <c r="F163" t="s">
        <v>39</v>
      </c>
      <c r="G163" t="s">
        <v>57</v>
      </c>
      <c r="H163" t="s">
        <v>1313</v>
      </c>
      <c r="I163" t="s">
        <v>20</v>
      </c>
      <c r="J163" t="s">
        <v>1314</v>
      </c>
      <c r="K163" t="s">
        <v>1315</v>
      </c>
      <c r="L163" t="s">
        <v>1316</v>
      </c>
      <c r="M163" t="s">
        <v>1317</v>
      </c>
    </row>
    <row r="164" spans="1:13" x14ac:dyDescent="0.55000000000000004">
      <c r="A164" t="s">
        <v>702</v>
      </c>
      <c r="B164" t="s">
        <v>703</v>
      </c>
      <c r="C164" t="s">
        <v>704</v>
      </c>
      <c r="D164">
        <v>64</v>
      </c>
      <c r="E164" t="s">
        <v>38</v>
      </c>
      <c r="F164" t="s">
        <v>39</v>
      </c>
      <c r="G164" t="s">
        <v>83</v>
      </c>
      <c r="H164" t="s">
        <v>705</v>
      </c>
      <c r="I164" t="s">
        <v>20</v>
      </c>
      <c r="J164" t="s">
        <v>706</v>
      </c>
      <c r="K164" t="s">
        <v>707</v>
      </c>
      <c r="L164" t="s">
        <v>708</v>
      </c>
      <c r="M164" t="s">
        <v>709</v>
      </c>
    </row>
    <row r="165" spans="1:13" x14ac:dyDescent="0.55000000000000004">
      <c r="A165" t="s">
        <v>1318</v>
      </c>
      <c r="B165" t="s">
        <v>1319</v>
      </c>
      <c r="C165" t="s">
        <v>1320</v>
      </c>
      <c r="D165">
        <v>64</v>
      </c>
      <c r="E165" t="s">
        <v>38</v>
      </c>
      <c r="F165" t="s">
        <v>39</v>
      </c>
      <c r="G165" t="s">
        <v>57</v>
      </c>
      <c r="H165" t="s">
        <v>1321</v>
      </c>
      <c r="I165" t="s">
        <v>20</v>
      </c>
      <c r="J165" t="s">
        <v>1322</v>
      </c>
      <c r="K165" t="s">
        <v>1323</v>
      </c>
      <c r="L165" t="s">
        <v>1324</v>
      </c>
      <c r="M165" t="s">
        <v>1325</v>
      </c>
    </row>
    <row r="166" spans="1:13" x14ac:dyDescent="0.55000000000000004">
      <c r="A166" t="s">
        <v>710</v>
      </c>
      <c r="B166" t="s">
        <v>711</v>
      </c>
      <c r="C166" t="s">
        <v>712</v>
      </c>
      <c r="D166">
        <v>64</v>
      </c>
      <c r="E166" t="s">
        <v>16</v>
      </c>
      <c r="F166" t="s">
        <v>28</v>
      </c>
      <c r="G166" t="s">
        <v>100</v>
      </c>
      <c r="H166" t="s">
        <v>713</v>
      </c>
      <c r="I166" t="s">
        <v>20</v>
      </c>
      <c r="J166" t="s">
        <v>714</v>
      </c>
      <c r="K166" t="s">
        <v>715</v>
      </c>
      <c r="L166" t="s">
        <v>716</v>
      </c>
      <c r="M166" t="s">
        <v>717</v>
      </c>
    </row>
    <row r="167" spans="1:13" x14ac:dyDescent="0.55000000000000004">
      <c r="A167" t="s">
        <v>1326</v>
      </c>
      <c r="B167" t="s">
        <v>1327</v>
      </c>
      <c r="C167" t="s">
        <v>1328</v>
      </c>
      <c r="D167">
        <v>64</v>
      </c>
      <c r="E167" t="s">
        <v>16</v>
      </c>
      <c r="F167" t="s">
        <v>28</v>
      </c>
      <c r="G167" t="s">
        <v>57</v>
      </c>
      <c r="H167" t="s">
        <v>1329</v>
      </c>
      <c r="I167" t="s">
        <v>20</v>
      </c>
      <c r="J167" t="s">
        <v>1330</v>
      </c>
      <c r="K167" t="s">
        <v>1331</v>
      </c>
      <c r="L167" t="s">
        <v>1332</v>
      </c>
      <c r="M167" t="s">
        <v>1333</v>
      </c>
    </row>
    <row r="168" spans="1:13" x14ac:dyDescent="0.55000000000000004">
      <c r="A168" t="s">
        <v>718</v>
      </c>
      <c r="B168" t="s">
        <v>719</v>
      </c>
      <c r="C168" t="s">
        <v>720</v>
      </c>
      <c r="D168">
        <v>82</v>
      </c>
      <c r="E168" t="s">
        <v>38</v>
      </c>
      <c r="F168" t="s">
        <v>17</v>
      </c>
      <c r="G168" t="s">
        <v>18</v>
      </c>
      <c r="H168" t="s">
        <v>721</v>
      </c>
      <c r="I168" t="s">
        <v>20</v>
      </c>
      <c r="J168" t="s">
        <v>722</v>
      </c>
      <c r="K168" t="s">
        <v>723</v>
      </c>
      <c r="L168" t="s">
        <v>724</v>
      </c>
      <c r="M168" t="s">
        <v>725</v>
      </c>
    </row>
    <row r="169" spans="1:13" x14ac:dyDescent="0.55000000000000004">
      <c r="A169" t="s">
        <v>1334</v>
      </c>
      <c r="B169" t="s">
        <v>1335</v>
      </c>
      <c r="C169" t="s">
        <v>1336</v>
      </c>
      <c r="D169">
        <v>82</v>
      </c>
      <c r="E169" t="s">
        <v>38</v>
      </c>
      <c r="F169" t="s">
        <v>17</v>
      </c>
      <c r="G169" t="s">
        <v>57</v>
      </c>
      <c r="H169" t="s">
        <v>1337</v>
      </c>
      <c r="I169" t="s">
        <v>20</v>
      </c>
      <c r="J169" t="s">
        <v>1338</v>
      </c>
      <c r="K169" t="s">
        <v>1339</v>
      </c>
      <c r="L169" t="s">
        <v>1340</v>
      </c>
      <c r="M169" t="s">
        <v>1341</v>
      </c>
    </row>
  </sheetData>
  <sortState xmlns:xlrd2="http://schemas.microsoft.com/office/spreadsheetml/2017/richdata2" ref="A2:M169">
    <sortCondition ref="H2:H169"/>
  </sortState>
  <conditionalFormatting sqref="A66:M169">
    <cfRule type="expression" dxfId="0" priority="2">
      <formula>$M66=""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176"/>
  <sheetViews>
    <sheetView workbookViewId="0"/>
  </sheetViews>
  <sheetFormatPr defaultRowHeight="14.4" x14ac:dyDescent="0.55000000000000004"/>
  <cols>
    <col min="1" max="1" width="11.3125" bestFit="1" customWidth="1"/>
    <col min="2" max="2" width="13.47265625" bestFit="1" customWidth="1"/>
    <col min="3" max="3" width="11.3671875" bestFit="1" customWidth="1"/>
    <col min="4" max="4" width="9.578125" bestFit="1" customWidth="1"/>
    <col min="5" max="5" width="26.3125" bestFit="1" customWidth="1"/>
    <col min="6" max="6" width="9.9453125" bestFit="1" customWidth="1"/>
    <col min="7" max="7" width="8.15625" bestFit="1" customWidth="1"/>
    <col min="8" max="8" width="8" bestFit="1" customWidth="1"/>
    <col min="9" max="9" width="12.1015625" bestFit="1" customWidth="1"/>
    <col min="10" max="10" width="9.734375" bestFit="1" customWidth="1"/>
    <col min="11" max="11" width="12.15625" bestFit="1" customWidth="1"/>
    <col min="12" max="12" width="22.41796875" bestFit="1" customWidth="1"/>
    <col min="13" max="13" width="11.5234375" bestFit="1" customWidth="1"/>
    <col min="14" max="14" width="10.5234375" bestFit="1" customWidth="1"/>
    <col min="15" max="15" width="13.3671875" bestFit="1" customWidth="1"/>
    <col min="16" max="16" width="8.7890625" bestFit="1" customWidth="1"/>
    <col min="17" max="17" width="16.3125" bestFit="1" customWidth="1"/>
    <col min="18" max="18" width="13.26171875" bestFit="1" customWidth="1"/>
    <col min="19" max="20" width="15.05078125" bestFit="1" customWidth="1"/>
    <col min="21" max="21" width="11.7890625" bestFit="1" customWidth="1"/>
    <col min="22" max="22" width="9.26171875" bestFit="1" customWidth="1"/>
    <col min="23" max="23" width="10.7890625" bestFit="1" customWidth="1"/>
  </cols>
  <sheetData>
    <row r="1" spans="1:23" x14ac:dyDescent="0.55000000000000004">
      <c r="A1" t="s">
        <v>1554</v>
      </c>
      <c r="B1" t="s">
        <v>1553</v>
      </c>
      <c r="C1" t="s">
        <v>1552</v>
      </c>
      <c r="D1" t="s">
        <v>1551</v>
      </c>
      <c r="E1" t="s">
        <v>1550</v>
      </c>
      <c r="F1" t="s">
        <v>1549</v>
      </c>
      <c r="G1" t="s">
        <v>1548</v>
      </c>
      <c r="H1" t="s">
        <v>1547</v>
      </c>
      <c r="I1" t="s">
        <v>1546</v>
      </c>
      <c r="J1" t="s">
        <v>1545</v>
      </c>
      <c r="K1" t="s">
        <v>1544</v>
      </c>
      <c r="L1" t="s">
        <v>1543</v>
      </c>
      <c r="M1" t="s">
        <v>1542</v>
      </c>
      <c r="N1" t="s">
        <v>1541</v>
      </c>
      <c r="O1" t="s">
        <v>1540</v>
      </c>
      <c r="P1" t="s">
        <v>1539</v>
      </c>
      <c r="Q1" t="s">
        <v>1538</v>
      </c>
      <c r="R1" t="s">
        <v>1537</v>
      </c>
      <c r="S1" t="s">
        <v>1536</v>
      </c>
      <c r="T1" t="s">
        <v>1535</v>
      </c>
      <c r="U1" t="s">
        <v>1534</v>
      </c>
      <c r="V1" t="s">
        <v>1533</v>
      </c>
      <c r="W1" t="s">
        <v>1532</v>
      </c>
    </row>
    <row r="2" spans="1:23" x14ac:dyDescent="0.55000000000000004">
      <c r="A2">
        <v>169</v>
      </c>
      <c r="B2" t="s">
        <v>1531</v>
      </c>
      <c r="C2" t="s">
        <v>1530</v>
      </c>
      <c r="D2">
        <v>200</v>
      </c>
      <c r="E2" t="s">
        <v>1529</v>
      </c>
      <c r="F2" s="1">
        <v>41124</v>
      </c>
      <c r="G2">
        <v>21185</v>
      </c>
      <c r="H2">
        <v>15539</v>
      </c>
      <c r="I2" s="1">
        <v>40896</v>
      </c>
      <c r="J2" t="s">
        <v>1528</v>
      </c>
      <c r="K2" t="s">
        <v>1527</v>
      </c>
      <c r="L2" t="s">
        <v>1526</v>
      </c>
      <c r="M2" t="s">
        <v>1351</v>
      </c>
      <c r="N2" t="s">
        <v>20</v>
      </c>
      <c r="O2" t="s">
        <v>1350</v>
      </c>
      <c r="P2" t="s">
        <v>1349</v>
      </c>
      <c r="Q2" t="s">
        <v>1348</v>
      </c>
      <c r="R2" t="s">
        <v>1347</v>
      </c>
      <c r="S2" t="s">
        <v>1346</v>
      </c>
      <c r="T2" t="s">
        <v>1345</v>
      </c>
      <c r="U2" t="s">
        <v>1344</v>
      </c>
      <c r="V2" t="s">
        <v>1343</v>
      </c>
      <c r="W2" t="s">
        <v>1342</v>
      </c>
    </row>
    <row r="3" spans="1:23" x14ac:dyDescent="0.55000000000000004">
      <c r="A3">
        <v>202</v>
      </c>
      <c r="B3" t="s">
        <v>318</v>
      </c>
      <c r="C3" t="s">
        <v>314</v>
      </c>
      <c r="D3">
        <v>300</v>
      </c>
      <c r="E3" t="s">
        <v>1525</v>
      </c>
      <c r="F3" s="1">
        <v>41775</v>
      </c>
      <c r="G3">
        <v>6906</v>
      </c>
      <c r="H3">
        <v>4783</v>
      </c>
      <c r="I3" s="1">
        <v>40897</v>
      </c>
      <c r="J3" t="s">
        <v>320</v>
      </c>
      <c r="K3" t="s">
        <v>319</v>
      </c>
      <c r="L3" t="s">
        <v>317</v>
      </c>
      <c r="M3" t="s">
        <v>1351</v>
      </c>
      <c r="N3" t="s">
        <v>20</v>
      </c>
      <c r="O3" t="s">
        <v>1350</v>
      </c>
      <c r="P3" t="s">
        <v>1349</v>
      </c>
      <c r="Q3" t="s">
        <v>1348</v>
      </c>
      <c r="R3" t="s">
        <v>1347</v>
      </c>
      <c r="S3" t="s">
        <v>1346</v>
      </c>
      <c r="T3" t="s">
        <v>1345</v>
      </c>
      <c r="U3" t="s">
        <v>1344</v>
      </c>
      <c r="V3" t="s">
        <v>1343</v>
      </c>
      <c r="W3" t="s">
        <v>1342</v>
      </c>
    </row>
    <row r="4" spans="1:23" x14ac:dyDescent="0.55000000000000004">
      <c r="A4">
        <v>202</v>
      </c>
      <c r="B4" t="s">
        <v>318</v>
      </c>
      <c r="C4" t="s">
        <v>1524</v>
      </c>
      <c r="D4">
        <v>300</v>
      </c>
      <c r="E4" t="s">
        <v>1346</v>
      </c>
      <c r="F4" s="1">
        <v>41489</v>
      </c>
      <c r="G4">
        <v>6906</v>
      </c>
      <c r="H4">
        <v>5330</v>
      </c>
      <c r="I4" s="1">
        <v>41495</v>
      </c>
      <c r="J4" t="s">
        <v>1523</v>
      </c>
      <c r="K4" t="s">
        <v>319</v>
      </c>
      <c r="L4" t="s">
        <v>317</v>
      </c>
      <c r="M4" t="s">
        <v>1351</v>
      </c>
      <c r="N4" t="s">
        <v>20</v>
      </c>
      <c r="O4" t="s">
        <v>1350</v>
      </c>
      <c r="P4" t="s">
        <v>1349</v>
      </c>
      <c r="Q4" t="s">
        <v>1348</v>
      </c>
      <c r="R4" t="s">
        <v>1347</v>
      </c>
      <c r="S4" t="s">
        <v>1346</v>
      </c>
      <c r="T4" t="s">
        <v>1345</v>
      </c>
      <c r="U4" t="s">
        <v>1344</v>
      </c>
      <c r="V4" t="s">
        <v>1343</v>
      </c>
      <c r="W4" t="s">
        <v>1342</v>
      </c>
    </row>
    <row r="5" spans="1:23" x14ac:dyDescent="0.55000000000000004">
      <c r="A5">
        <v>202</v>
      </c>
      <c r="B5" t="s">
        <v>325</v>
      </c>
      <c r="C5" t="s">
        <v>1522</v>
      </c>
      <c r="D5">
        <v>300</v>
      </c>
      <c r="E5" t="s">
        <v>1346</v>
      </c>
      <c r="F5" s="1">
        <v>41489</v>
      </c>
      <c r="G5">
        <v>8602</v>
      </c>
      <c r="H5">
        <v>6603</v>
      </c>
      <c r="I5" s="1">
        <v>41495</v>
      </c>
      <c r="J5" t="s">
        <v>1521</v>
      </c>
      <c r="K5" t="s">
        <v>326</v>
      </c>
      <c r="L5" t="s">
        <v>324</v>
      </c>
      <c r="M5" t="s">
        <v>1351</v>
      </c>
      <c r="N5" t="s">
        <v>20</v>
      </c>
      <c r="O5" t="s">
        <v>1350</v>
      </c>
      <c r="P5" t="s">
        <v>1349</v>
      </c>
      <c r="Q5" t="s">
        <v>1348</v>
      </c>
      <c r="R5" t="s">
        <v>1347</v>
      </c>
      <c r="S5" t="s">
        <v>1346</v>
      </c>
      <c r="T5" t="s">
        <v>1345</v>
      </c>
      <c r="U5" t="s">
        <v>1344</v>
      </c>
      <c r="V5" t="s">
        <v>1343</v>
      </c>
      <c r="W5" t="s">
        <v>1342</v>
      </c>
    </row>
    <row r="6" spans="1:23" x14ac:dyDescent="0.55000000000000004">
      <c r="A6">
        <v>202</v>
      </c>
      <c r="B6" t="s">
        <v>325</v>
      </c>
      <c r="C6" t="s">
        <v>321</v>
      </c>
      <c r="D6">
        <v>300</v>
      </c>
      <c r="E6" t="s">
        <v>1520</v>
      </c>
      <c r="F6" s="1">
        <v>41438</v>
      </c>
      <c r="G6">
        <v>8602</v>
      </c>
      <c r="H6">
        <v>6006</v>
      </c>
      <c r="I6" s="1">
        <v>40897</v>
      </c>
      <c r="J6" t="s">
        <v>327</v>
      </c>
      <c r="K6" t="s">
        <v>326</v>
      </c>
      <c r="L6" t="s">
        <v>324</v>
      </c>
      <c r="M6" t="s">
        <v>1351</v>
      </c>
      <c r="N6" t="s">
        <v>20</v>
      </c>
      <c r="O6" t="s">
        <v>1350</v>
      </c>
      <c r="P6" t="s">
        <v>1349</v>
      </c>
      <c r="Q6" t="s">
        <v>1348</v>
      </c>
      <c r="R6" t="s">
        <v>1347</v>
      </c>
      <c r="S6" t="s">
        <v>1346</v>
      </c>
      <c r="T6" t="s">
        <v>1345</v>
      </c>
      <c r="U6" t="s">
        <v>1344</v>
      </c>
      <c r="V6" t="s">
        <v>1343</v>
      </c>
      <c r="W6" t="s">
        <v>1342</v>
      </c>
    </row>
    <row r="7" spans="1:23" x14ac:dyDescent="0.55000000000000004">
      <c r="A7">
        <v>202</v>
      </c>
      <c r="B7" t="s">
        <v>332</v>
      </c>
      <c r="C7" t="s">
        <v>328</v>
      </c>
      <c r="D7">
        <v>300</v>
      </c>
      <c r="E7" t="s">
        <v>1519</v>
      </c>
      <c r="F7" s="1">
        <v>41438</v>
      </c>
      <c r="G7">
        <v>10103</v>
      </c>
      <c r="H7">
        <v>7028</v>
      </c>
      <c r="I7" s="1">
        <v>40897</v>
      </c>
      <c r="J7" t="s">
        <v>334</v>
      </c>
      <c r="K7" t="s">
        <v>333</v>
      </c>
      <c r="L7" t="s">
        <v>331</v>
      </c>
      <c r="M7" t="s">
        <v>1351</v>
      </c>
      <c r="N7" t="s">
        <v>20</v>
      </c>
      <c r="O7" t="s">
        <v>1350</v>
      </c>
      <c r="P7" t="s">
        <v>1349</v>
      </c>
      <c r="Q7" t="s">
        <v>1348</v>
      </c>
      <c r="R7" t="s">
        <v>1347</v>
      </c>
      <c r="S7" t="s">
        <v>1346</v>
      </c>
      <c r="T7" t="s">
        <v>1345</v>
      </c>
      <c r="U7" t="s">
        <v>1344</v>
      </c>
      <c r="V7" t="s">
        <v>1343</v>
      </c>
      <c r="W7" t="s">
        <v>1342</v>
      </c>
    </row>
    <row r="8" spans="1:23" x14ac:dyDescent="0.55000000000000004">
      <c r="A8">
        <v>202</v>
      </c>
      <c r="B8" t="s">
        <v>332</v>
      </c>
      <c r="C8" t="s">
        <v>1518</v>
      </c>
      <c r="D8">
        <v>300</v>
      </c>
      <c r="E8" t="s">
        <v>1346</v>
      </c>
      <c r="F8" s="1">
        <v>41489</v>
      </c>
      <c r="G8">
        <v>10103</v>
      </c>
      <c r="H8">
        <v>7724</v>
      </c>
      <c r="I8" s="1">
        <v>41495</v>
      </c>
      <c r="J8" t="s">
        <v>1517</v>
      </c>
      <c r="K8" t="s">
        <v>333</v>
      </c>
      <c r="L8" t="s">
        <v>331</v>
      </c>
      <c r="M8" t="s">
        <v>1351</v>
      </c>
      <c r="N8" t="s">
        <v>20</v>
      </c>
      <c r="O8" t="s">
        <v>1350</v>
      </c>
      <c r="P8" t="s">
        <v>1349</v>
      </c>
      <c r="Q8" t="s">
        <v>1348</v>
      </c>
      <c r="R8" t="s">
        <v>1347</v>
      </c>
      <c r="S8" t="s">
        <v>1346</v>
      </c>
      <c r="T8" t="s">
        <v>1345</v>
      </c>
      <c r="U8" t="s">
        <v>1344</v>
      </c>
      <c r="V8" t="s">
        <v>1343</v>
      </c>
      <c r="W8" t="s">
        <v>1342</v>
      </c>
    </row>
    <row r="9" spans="1:23" x14ac:dyDescent="0.55000000000000004">
      <c r="A9">
        <v>202</v>
      </c>
      <c r="B9" t="s">
        <v>339</v>
      </c>
      <c r="C9" t="s">
        <v>1516</v>
      </c>
      <c r="D9">
        <v>300</v>
      </c>
      <c r="E9" t="s">
        <v>1346</v>
      </c>
      <c r="F9" s="1">
        <v>41489</v>
      </c>
      <c r="G9">
        <v>9328</v>
      </c>
      <c r="H9">
        <v>7137</v>
      </c>
      <c r="I9" s="1">
        <v>41495</v>
      </c>
      <c r="J9" t="s">
        <v>1515</v>
      </c>
      <c r="K9" t="s">
        <v>340</v>
      </c>
      <c r="L9" t="s">
        <v>338</v>
      </c>
      <c r="M9" t="s">
        <v>1351</v>
      </c>
      <c r="N9" t="s">
        <v>20</v>
      </c>
      <c r="O9" t="s">
        <v>1350</v>
      </c>
      <c r="P9" t="s">
        <v>1349</v>
      </c>
      <c r="Q9" t="s">
        <v>1348</v>
      </c>
      <c r="R9" t="s">
        <v>1347</v>
      </c>
      <c r="S9" t="s">
        <v>1346</v>
      </c>
      <c r="T9" t="s">
        <v>1345</v>
      </c>
      <c r="U9" t="s">
        <v>1344</v>
      </c>
      <c r="V9" t="s">
        <v>1343</v>
      </c>
      <c r="W9" t="s">
        <v>1342</v>
      </c>
    </row>
    <row r="10" spans="1:23" x14ac:dyDescent="0.55000000000000004">
      <c r="A10">
        <v>202</v>
      </c>
      <c r="B10" t="s">
        <v>339</v>
      </c>
      <c r="C10" t="s">
        <v>335</v>
      </c>
      <c r="D10">
        <v>300</v>
      </c>
      <c r="E10" t="s">
        <v>1514</v>
      </c>
      <c r="F10" s="1">
        <v>41438</v>
      </c>
      <c r="G10">
        <v>9328</v>
      </c>
      <c r="H10">
        <v>6473</v>
      </c>
      <c r="I10" s="1">
        <v>40897</v>
      </c>
      <c r="J10" t="s">
        <v>341</v>
      </c>
      <c r="K10" t="s">
        <v>340</v>
      </c>
      <c r="L10" t="s">
        <v>338</v>
      </c>
      <c r="M10" t="s">
        <v>1351</v>
      </c>
      <c r="N10" t="s">
        <v>20</v>
      </c>
      <c r="O10" t="s">
        <v>1350</v>
      </c>
      <c r="P10" t="s">
        <v>1349</v>
      </c>
      <c r="Q10" t="s">
        <v>1348</v>
      </c>
      <c r="R10" t="s">
        <v>1347</v>
      </c>
      <c r="S10" t="s">
        <v>1346</v>
      </c>
      <c r="T10" t="s">
        <v>1345</v>
      </c>
      <c r="U10" t="s">
        <v>1344</v>
      </c>
      <c r="V10" t="s">
        <v>1343</v>
      </c>
      <c r="W10" t="s">
        <v>1342</v>
      </c>
    </row>
    <row r="11" spans="1:23" x14ac:dyDescent="0.55000000000000004">
      <c r="A11">
        <v>202</v>
      </c>
      <c r="B11" t="s">
        <v>346</v>
      </c>
      <c r="C11" t="s">
        <v>342</v>
      </c>
      <c r="D11">
        <v>300</v>
      </c>
      <c r="E11" t="s">
        <v>1513</v>
      </c>
      <c r="F11" s="1">
        <v>41438</v>
      </c>
      <c r="G11">
        <v>8948</v>
      </c>
      <c r="H11">
        <v>6244</v>
      </c>
      <c r="I11" s="1">
        <v>40897</v>
      </c>
      <c r="J11" t="s">
        <v>348</v>
      </c>
      <c r="K11" t="s">
        <v>347</v>
      </c>
      <c r="L11" t="s">
        <v>345</v>
      </c>
      <c r="M11" t="s">
        <v>1351</v>
      </c>
      <c r="N11" t="s">
        <v>20</v>
      </c>
      <c r="O11" t="s">
        <v>1350</v>
      </c>
      <c r="P11" t="s">
        <v>1349</v>
      </c>
      <c r="Q11" t="s">
        <v>1348</v>
      </c>
      <c r="R11" t="s">
        <v>1347</v>
      </c>
      <c r="S11" t="s">
        <v>1346</v>
      </c>
      <c r="T11" t="s">
        <v>1345</v>
      </c>
      <c r="U11" t="s">
        <v>1344</v>
      </c>
      <c r="V11" t="s">
        <v>1343</v>
      </c>
      <c r="W11" t="s">
        <v>1342</v>
      </c>
    </row>
    <row r="12" spans="1:23" x14ac:dyDescent="0.55000000000000004">
      <c r="A12">
        <v>202</v>
      </c>
      <c r="B12" t="s">
        <v>346</v>
      </c>
      <c r="C12" t="s">
        <v>1512</v>
      </c>
      <c r="D12">
        <v>300</v>
      </c>
      <c r="E12" t="s">
        <v>1346</v>
      </c>
      <c r="F12" s="1">
        <v>41489</v>
      </c>
      <c r="G12">
        <v>8948</v>
      </c>
      <c r="H12">
        <v>6876</v>
      </c>
      <c r="I12" s="1">
        <v>41495</v>
      </c>
      <c r="J12" t="s">
        <v>1511</v>
      </c>
      <c r="K12" t="s">
        <v>347</v>
      </c>
      <c r="L12" t="s">
        <v>345</v>
      </c>
      <c r="M12" t="s">
        <v>1351</v>
      </c>
      <c r="N12" t="s">
        <v>20</v>
      </c>
      <c r="O12" t="s">
        <v>1350</v>
      </c>
      <c r="P12" t="s">
        <v>1349</v>
      </c>
      <c r="Q12" t="s">
        <v>1348</v>
      </c>
      <c r="R12" t="s">
        <v>1347</v>
      </c>
      <c r="S12" t="s">
        <v>1346</v>
      </c>
      <c r="T12" t="s">
        <v>1345</v>
      </c>
      <c r="U12" t="s">
        <v>1344</v>
      </c>
      <c r="V12" t="s">
        <v>1343</v>
      </c>
      <c r="W12" t="s">
        <v>1342</v>
      </c>
    </row>
    <row r="13" spans="1:23" x14ac:dyDescent="0.55000000000000004">
      <c r="A13">
        <v>202</v>
      </c>
      <c r="B13" t="s">
        <v>730</v>
      </c>
      <c r="C13" t="s">
        <v>726</v>
      </c>
      <c r="D13">
        <v>200</v>
      </c>
      <c r="E13" t="s">
        <v>1510</v>
      </c>
      <c r="F13" s="1">
        <v>41162</v>
      </c>
      <c r="G13">
        <v>4400</v>
      </c>
      <c r="H13">
        <v>3055</v>
      </c>
      <c r="I13" s="1">
        <v>41162</v>
      </c>
      <c r="J13" t="s">
        <v>732</v>
      </c>
      <c r="K13" t="s">
        <v>731</v>
      </c>
      <c r="L13" t="s">
        <v>729</v>
      </c>
      <c r="M13" t="s">
        <v>1351</v>
      </c>
      <c r="N13" t="s">
        <v>20</v>
      </c>
      <c r="O13" t="s">
        <v>1350</v>
      </c>
      <c r="P13" t="s">
        <v>1349</v>
      </c>
      <c r="Q13" t="s">
        <v>1348</v>
      </c>
      <c r="R13" t="s">
        <v>1347</v>
      </c>
      <c r="S13" t="s">
        <v>1346</v>
      </c>
      <c r="T13" t="s">
        <v>1345</v>
      </c>
      <c r="U13" t="s">
        <v>1344</v>
      </c>
      <c r="V13" t="s">
        <v>1343</v>
      </c>
      <c r="W13" t="s">
        <v>1342</v>
      </c>
    </row>
    <row r="14" spans="1:23" x14ac:dyDescent="0.55000000000000004">
      <c r="A14">
        <v>202</v>
      </c>
      <c r="B14" t="s">
        <v>738</v>
      </c>
      <c r="C14" t="s">
        <v>734</v>
      </c>
      <c r="D14">
        <v>200</v>
      </c>
      <c r="E14" t="s">
        <v>1509</v>
      </c>
      <c r="F14" s="1">
        <v>41162</v>
      </c>
      <c r="G14">
        <v>8095</v>
      </c>
      <c r="H14">
        <v>5635</v>
      </c>
      <c r="I14" s="1">
        <v>41162</v>
      </c>
      <c r="J14" t="s">
        <v>740</v>
      </c>
      <c r="K14" t="s">
        <v>739</v>
      </c>
      <c r="L14" t="s">
        <v>737</v>
      </c>
      <c r="M14" t="s">
        <v>1351</v>
      </c>
      <c r="N14" t="s">
        <v>20</v>
      </c>
      <c r="O14" t="s">
        <v>1350</v>
      </c>
      <c r="P14" t="s">
        <v>1349</v>
      </c>
      <c r="Q14" t="s">
        <v>1348</v>
      </c>
      <c r="R14" t="s">
        <v>1347</v>
      </c>
      <c r="S14" t="s">
        <v>1346</v>
      </c>
      <c r="T14" t="s">
        <v>1345</v>
      </c>
      <c r="U14" t="s">
        <v>1344</v>
      </c>
      <c r="V14" t="s">
        <v>1343</v>
      </c>
      <c r="W14" t="s">
        <v>1342</v>
      </c>
    </row>
    <row r="15" spans="1:23" x14ac:dyDescent="0.55000000000000004">
      <c r="A15">
        <v>202</v>
      </c>
      <c r="B15" t="s">
        <v>746</v>
      </c>
      <c r="C15" t="s">
        <v>742</v>
      </c>
      <c r="D15">
        <v>200</v>
      </c>
      <c r="E15" t="s">
        <v>1508</v>
      </c>
      <c r="F15" s="1">
        <v>41162</v>
      </c>
      <c r="G15">
        <v>7042</v>
      </c>
      <c r="H15">
        <v>4903</v>
      </c>
      <c r="I15" s="1">
        <v>41162</v>
      </c>
      <c r="J15" t="s">
        <v>748</v>
      </c>
      <c r="K15" t="s">
        <v>747</v>
      </c>
      <c r="L15" t="s">
        <v>745</v>
      </c>
      <c r="M15" t="s">
        <v>1351</v>
      </c>
      <c r="N15" t="s">
        <v>20</v>
      </c>
      <c r="O15" t="s">
        <v>1350</v>
      </c>
      <c r="P15" t="s">
        <v>1349</v>
      </c>
      <c r="Q15" t="s">
        <v>1348</v>
      </c>
      <c r="R15" t="s">
        <v>1347</v>
      </c>
      <c r="S15" t="s">
        <v>1346</v>
      </c>
      <c r="T15" t="s">
        <v>1345</v>
      </c>
      <c r="U15" t="s">
        <v>1344</v>
      </c>
      <c r="V15" t="s">
        <v>1343</v>
      </c>
      <c r="W15" t="s">
        <v>1342</v>
      </c>
    </row>
    <row r="16" spans="1:23" x14ac:dyDescent="0.55000000000000004">
      <c r="A16">
        <v>202</v>
      </c>
      <c r="B16" t="s">
        <v>754</v>
      </c>
      <c r="C16" t="s">
        <v>750</v>
      </c>
      <c r="D16">
        <v>200</v>
      </c>
      <c r="E16" t="s">
        <v>1507</v>
      </c>
      <c r="F16" s="1">
        <v>41162</v>
      </c>
      <c r="G16">
        <v>6177</v>
      </c>
      <c r="H16">
        <v>4301</v>
      </c>
      <c r="I16" s="1">
        <v>41162</v>
      </c>
      <c r="J16" t="s">
        <v>756</v>
      </c>
      <c r="K16" t="s">
        <v>755</v>
      </c>
      <c r="L16" t="s">
        <v>753</v>
      </c>
      <c r="M16" t="s">
        <v>1351</v>
      </c>
      <c r="N16" t="s">
        <v>20</v>
      </c>
      <c r="O16" t="s">
        <v>1350</v>
      </c>
      <c r="P16" t="s">
        <v>1349</v>
      </c>
      <c r="Q16" t="s">
        <v>1348</v>
      </c>
      <c r="R16" t="s">
        <v>1347</v>
      </c>
      <c r="S16" t="s">
        <v>1346</v>
      </c>
      <c r="T16" t="s">
        <v>1345</v>
      </c>
      <c r="U16" t="s">
        <v>1344</v>
      </c>
      <c r="V16" t="s">
        <v>1343</v>
      </c>
      <c r="W16" t="s">
        <v>1342</v>
      </c>
    </row>
    <row r="17" spans="1:23" x14ac:dyDescent="0.55000000000000004">
      <c r="A17">
        <v>202</v>
      </c>
      <c r="B17" t="s">
        <v>762</v>
      </c>
      <c r="C17" t="s">
        <v>758</v>
      </c>
      <c r="D17">
        <v>200</v>
      </c>
      <c r="E17" t="s">
        <v>1506</v>
      </c>
      <c r="F17" s="1">
        <v>41162</v>
      </c>
      <c r="G17">
        <v>6901</v>
      </c>
      <c r="H17">
        <v>4804</v>
      </c>
      <c r="I17" s="1">
        <v>41162</v>
      </c>
      <c r="J17" t="s">
        <v>764</v>
      </c>
      <c r="K17" t="s">
        <v>763</v>
      </c>
      <c r="L17" t="s">
        <v>761</v>
      </c>
      <c r="M17" t="s">
        <v>1351</v>
      </c>
      <c r="N17" t="s">
        <v>20</v>
      </c>
      <c r="O17" t="s">
        <v>1350</v>
      </c>
      <c r="P17" t="s">
        <v>1349</v>
      </c>
      <c r="Q17" t="s">
        <v>1348</v>
      </c>
      <c r="R17" t="s">
        <v>1347</v>
      </c>
      <c r="S17" t="s">
        <v>1346</v>
      </c>
      <c r="T17" t="s">
        <v>1345</v>
      </c>
      <c r="U17" t="s">
        <v>1344</v>
      </c>
      <c r="V17" t="s">
        <v>1343</v>
      </c>
      <c r="W17" t="s">
        <v>1342</v>
      </c>
    </row>
    <row r="18" spans="1:23" x14ac:dyDescent="0.55000000000000004">
      <c r="A18">
        <v>202</v>
      </c>
      <c r="B18" t="s">
        <v>770</v>
      </c>
      <c r="C18" t="s">
        <v>766</v>
      </c>
      <c r="D18">
        <v>200</v>
      </c>
      <c r="E18" t="s">
        <v>1505</v>
      </c>
      <c r="F18" s="1">
        <v>41162</v>
      </c>
      <c r="G18">
        <v>8282</v>
      </c>
      <c r="H18">
        <v>5768</v>
      </c>
      <c r="I18" s="1">
        <v>41162</v>
      </c>
      <c r="J18" t="s">
        <v>772</v>
      </c>
      <c r="K18" t="s">
        <v>771</v>
      </c>
      <c r="L18" t="s">
        <v>769</v>
      </c>
      <c r="M18" t="s">
        <v>1351</v>
      </c>
      <c r="N18" t="s">
        <v>20</v>
      </c>
      <c r="O18" t="s">
        <v>1350</v>
      </c>
      <c r="P18" t="s">
        <v>1349</v>
      </c>
      <c r="Q18" t="s">
        <v>1348</v>
      </c>
      <c r="R18" t="s">
        <v>1347</v>
      </c>
      <c r="S18" t="s">
        <v>1346</v>
      </c>
      <c r="T18" t="s">
        <v>1345</v>
      </c>
      <c r="U18" t="s">
        <v>1344</v>
      </c>
      <c r="V18" t="s">
        <v>1343</v>
      </c>
      <c r="W18" t="s">
        <v>1342</v>
      </c>
    </row>
    <row r="19" spans="1:23" x14ac:dyDescent="0.55000000000000004">
      <c r="A19">
        <v>202</v>
      </c>
      <c r="B19" t="s">
        <v>778</v>
      </c>
      <c r="C19" t="s">
        <v>774</v>
      </c>
      <c r="D19">
        <v>200</v>
      </c>
      <c r="E19" t="s">
        <v>1504</v>
      </c>
      <c r="F19" s="1">
        <v>41162</v>
      </c>
      <c r="G19">
        <v>5577</v>
      </c>
      <c r="H19">
        <v>3893</v>
      </c>
      <c r="I19" s="1">
        <v>41162</v>
      </c>
      <c r="J19" t="s">
        <v>780</v>
      </c>
      <c r="K19" t="s">
        <v>779</v>
      </c>
      <c r="L19" t="s">
        <v>777</v>
      </c>
      <c r="M19" t="s">
        <v>1351</v>
      </c>
      <c r="N19" t="s">
        <v>20</v>
      </c>
      <c r="O19" t="s">
        <v>1350</v>
      </c>
      <c r="P19" t="s">
        <v>1349</v>
      </c>
      <c r="Q19" t="s">
        <v>1348</v>
      </c>
      <c r="R19" t="s">
        <v>1347</v>
      </c>
      <c r="S19" t="s">
        <v>1346</v>
      </c>
      <c r="T19" t="s">
        <v>1345</v>
      </c>
      <c r="U19" t="s">
        <v>1344</v>
      </c>
      <c r="V19" t="s">
        <v>1343</v>
      </c>
      <c r="W19" t="s">
        <v>1342</v>
      </c>
    </row>
    <row r="20" spans="1:23" x14ac:dyDescent="0.55000000000000004">
      <c r="A20">
        <v>202</v>
      </c>
      <c r="B20" t="s">
        <v>786</v>
      </c>
      <c r="C20" t="s">
        <v>782</v>
      </c>
      <c r="D20">
        <v>200</v>
      </c>
      <c r="E20" t="s">
        <v>1503</v>
      </c>
      <c r="F20" s="1">
        <v>41163</v>
      </c>
      <c r="G20">
        <v>5785</v>
      </c>
      <c r="H20">
        <v>3962</v>
      </c>
      <c r="I20" s="1">
        <v>41163</v>
      </c>
      <c r="J20" t="s">
        <v>788</v>
      </c>
      <c r="K20" t="s">
        <v>787</v>
      </c>
      <c r="L20" t="s">
        <v>785</v>
      </c>
      <c r="M20" t="s">
        <v>1351</v>
      </c>
      <c r="N20" t="s">
        <v>20</v>
      </c>
      <c r="O20" t="s">
        <v>1350</v>
      </c>
      <c r="P20" t="s">
        <v>1349</v>
      </c>
      <c r="Q20" t="s">
        <v>1348</v>
      </c>
      <c r="R20" t="s">
        <v>1347</v>
      </c>
      <c r="S20" t="s">
        <v>1346</v>
      </c>
      <c r="T20" t="s">
        <v>1345</v>
      </c>
      <c r="U20" t="s">
        <v>1344</v>
      </c>
      <c r="V20" t="s">
        <v>1343</v>
      </c>
      <c r="W20" t="s">
        <v>1342</v>
      </c>
    </row>
    <row r="21" spans="1:23" x14ac:dyDescent="0.55000000000000004">
      <c r="A21">
        <v>202</v>
      </c>
      <c r="B21" t="s">
        <v>794</v>
      </c>
      <c r="C21" t="s">
        <v>790</v>
      </c>
      <c r="D21">
        <v>200</v>
      </c>
      <c r="E21" t="s">
        <v>1502</v>
      </c>
      <c r="F21" s="1">
        <v>41162</v>
      </c>
      <c r="G21">
        <v>5239</v>
      </c>
      <c r="H21">
        <v>3602</v>
      </c>
      <c r="I21" s="1">
        <v>41162</v>
      </c>
      <c r="J21" t="s">
        <v>796</v>
      </c>
      <c r="K21" t="s">
        <v>795</v>
      </c>
      <c r="L21" t="s">
        <v>793</v>
      </c>
      <c r="M21" t="s">
        <v>1351</v>
      </c>
      <c r="N21" t="s">
        <v>20</v>
      </c>
      <c r="O21" t="s">
        <v>1350</v>
      </c>
      <c r="P21" t="s">
        <v>1349</v>
      </c>
      <c r="Q21" t="s">
        <v>1348</v>
      </c>
      <c r="R21" t="s">
        <v>1347</v>
      </c>
      <c r="S21" t="s">
        <v>1346</v>
      </c>
      <c r="T21" t="s">
        <v>1345</v>
      </c>
      <c r="U21" t="s">
        <v>1344</v>
      </c>
      <c r="V21" t="s">
        <v>1343</v>
      </c>
      <c r="W21" t="s">
        <v>1342</v>
      </c>
    </row>
    <row r="22" spans="1:23" x14ac:dyDescent="0.55000000000000004">
      <c r="A22">
        <v>202</v>
      </c>
      <c r="B22" t="s">
        <v>802</v>
      </c>
      <c r="C22" t="s">
        <v>798</v>
      </c>
      <c r="D22">
        <v>200</v>
      </c>
      <c r="E22" t="s">
        <v>1501</v>
      </c>
      <c r="F22" s="1">
        <v>41163</v>
      </c>
      <c r="G22">
        <v>6414</v>
      </c>
      <c r="H22">
        <v>4410</v>
      </c>
      <c r="I22" s="1">
        <v>41163</v>
      </c>
      <c r="J22" t="s">
        <v>804</v>
      </c>
      <c r="K22" t="s">
        <v>803</v>
      </c>
      <c r="L22" t="s">
        <v>801</v>
      </c>
      <c r="M22" t="s">
        <v>1351</v>
      </c>
      <c r="N22" t="s">
        <v>20</v>
      </c>
      <c r="O22" t="s">
        <v>1350</v>
      </c>
      <c r="P22" t="s">
        <v>1349</v>
      </c>
      <c r="Q22" t="s">
        <v>1348</v>
      </c>
      <c r="R22" t="s">
        <v>1347</v>
      </c>
      <c r="S22" t="s">
        <v>1346</v>
      </c>
      <c r="T22" t="s">
        <v>1345</v>
      </c>
      <c r="U22" t="s">
        <v>1344</v>
      </c>
      <c r="V22" t="s">
        <v>1343</v>
      </c>
      <c r="W22" t="s">
        <v>1342</v>
      </c>
    </row>
    <row r="23" spans="1:23" x14ac:dyDescent="0.55000000000000004">
      <c r="A23">
        <v>202</v>
      </c>
      <c r="B23" t="s">
        <v>810</v>
      </c>
      <c r="C23" t="s">
        <v>806</v>
      </c>
      <c r="D23">
        <v>200</v>
      </c>
      <c r="E23" t="s">
        <v>1500</v>
      </c>
      <c r="F23" s="1">
        <v>41162</v>
      </c>
      <c r="G23">
        <v>5852</v>
      </c>
      <c r="H23">
        <v>4004</v>
      </c>
      <c r="I23" s="1">
        <v>41162</v>
      </c>
      <c r="J23" t="s">
        <v>812</v>
      </c>
      <c r="K23" t="s">
        <v>811</v>
      </c>
      <c r="L23" t="s">
        <v>809</v>
      </c>
      <c r="M23" t="s">
        <v>1351</v>
      </c>
      <c r="N23" t="s">
        <v>20</v>
      </c>
      <c r="O23" t="s">
        <v>1350</v>
      </c>
      <c r="P23" t="s">
        <v>1349</v>
      </c>
      <c r="Q23" t="s">
        <v>1348</v>
      </c>
      <c r="R23" t="s">
        <v>1347</v>
      </c>
      <c r="S23" t="s">
        <v>1346</v>
      </c>
      <c r="T23" t="s">
        <v>1345</v>
      </c>
      <c r="U23" t="s">
        <v>1344</v>
      </c>
      <c r="V23" t="s">
        <v>1343</v>
      </c>
      <c r="W23" t="s">
        <v>1342</v>
      </c>
    </row>
    <row r="24" spans="1:23" x14ac:dyDescent="0.55000000000000004">
      <c r="A24">
        <v>202</v>
      </c>
      <c r="B24" t="s">
        <v>818</v>
      </c>
      <c r="C24" t="s">
        <v>814</v>
      </c>
      <c r="D24">
        <v>200</v>
      </c>
      <c r="E24" t="s">
        <v>1499</v>
      </c>
      <c r="F24" s="1">
        <v>41162</v>
      </c>
      <c r="G24">
        <v>6409</v>
      </c>
      <c r="H24">
        <v>4404</v>
      </c>
      <c r="I24" s="1">
        <v>41162</v>
      </c>
      <c r="J24" t="s">
        <v>820</v>
      </c>
      <c r="K24" t="s">
        <v>819</v>
      </c>
      <c r="L24" t="s">
        <v>817</v>
      </c>
      <c r="M24" t="s">
        <v>1351</v>
      </c>
      <c r="N24" t="s">
        <v>20</v>
      </c>
      <c r="O24" t="s">
        <v>1350</v>
      </c>
      <c r="P24" t="s">
        <v>1349</v>
      </c>
      <c r="Q24" t="s">
        <v>1348</v>
      </c>
      <c r="R24" t="s">
        <v>1347</v>
      </c>
      <c r="S24" t="s">
        <v>1346</v>
      </c>
      <c r="T24" t="s">
        <v>1345</v>
      </c>
      <c r="U24" t="s">
        <v>1344</v>
      </c>
      <c r="V24" t="s">
        <v>1343</v>
      </c>
      <c r="W24" t="s">
        <v>1342</v>
      </c>
    </row>
    <row r="25" spans="1:23" x14ac:dyDescent="0.55000000000000004">
      <c r="A25">
        <v>202</v>
      </c>
      <c r="B25" t="s">
        <v>826</v>
      </c>
      <c r="C25" t="s">
        <v>822</v>
      </c>
      <c r="D25">
        <v>200</v>
      </c>
      <c r="E25" t="s">
        <v>1498</v>
      </c>
      <c r="F25" s="1">
        <v>41162</v>
      </c>
      <c r="G25">
        <v>6974</v>
      </c>
      <c r="H25">
        <v>4777</v>
      </c>
      <c r="I25" s="1">
        <v>41162</v>
      </c>
      <c r="J25" t="s">
        <v>828</v>
      </c>
      <c r="K25" t="s">
        <v>827</v>
      </c>
      <c r="L25" t="s">
        <v>825</v>
      </c>
      <c r="M25" t="s">
        <v>1351</v>
      </c>
      <c r="N25" t="s">
        <v>20</v>
      </c>
      <c r="O25" t="s">
        <v>1350</v>
      </c>
      <c r="P25" t="s">
        <v>1349</v>
      </c>
      <c r="Q25" t="s">
        <v>1348</v>
      </c>
      <c r="R25" t="s">
        <v>1347</v>
      </c>
      <c r="S25" t="s">
        <v>1346</v>
      </c>
      <c r="T25" t="s">
        <v>1345</v>
      </c>
      <c r="U25" t="s">
        <v>1344</v>
      </c>
      <c r="V25" t="s">
        <v>1343</v>
      </c>
      <c r="W25" t="s">
        <v>1342</v>
      </c>
    </row>
    <row r="26" spans="1:23" x14ac:dyDescent="0.55000000000000004">
      <c r="A26">
        <v>202</v>
      </c>
      <c r="B26" t="s">
        <v>834</v>
      </c>
      <c r="C26" t="s">
        <v>830</v>
      </c>
      <c r="D26">
        <v>200</v>
      </c>
      <c r="E26" t="s">
        <v>1497</v>
      </c>
      <c r="F26" s="1">
        <v>41162</v>
      </c>
      <c r="G26">
        <v>7283</v>
      </c>
      <c r="H26">
        <v>4996</v>
      </c>
      <c r="I26" s="1">
        <v>41162</v>
      </c>
      <c r="J26" t="s">
        <v>836</v>
      </c>
      <c r="K26" t="s">
        <v>835</v>
      </c>
      <c r="L26" t="s">
        <v>833</v>
      </c>
      <c r="M26" t="s">
        <v>1351</v>
      </c>
      <c r="N26" t="s">
        <v>20</v>
      </c>
      <c r="O26" t="s">
        <v>1350</v>
      </c>
      <c r="P26" t="s">
        <v>1349</v>
      </c>
      <c r="Q26" t="s">
        <v>1348</v>
      </c>
      <c r="R26" t="s">
        <v>1347</v>
      </c>
      <c r="S26" t="s">
        <v>1346</v>
      </c>
      <c r="T26" t="s">
        <v>1345</v>
      </c>
      <c r="U26" t="s">
        <v>1344</v>
      </c>
      <c r="V26" t="s">
        <v>1343</v>
      </c>
      <c r="W26" t="s">
        <v>1342</v>
      </c>
    </row>
    <row r="27" spans="1:23" x14ac:dyDescent="0.55000000000000004">
      <c r="A27">
        <v>202</v>
      </c>
      <c r="B27" t="s">
        <v>842</v>
      </c>
      <c r="C27" t="s">
        <v>838</v>
      </c>
      <c r="D27">
        <v>200</v>
      </c>
      <c r="E27" t="s">
        <v>1496</v>
      </c>
      <c r="F27" s="1">
        <v>41162</v>
      </c>
      <c r="G27">
        <v>6706</v>
      </c>
      <c r="H27">
        <v>4639</v>
      </c>
      <c r="I27" s="1">
        <v>41162</v>
      </c>
      <c r="J27" t="s">
        <v>844</v>
      </c>
      <c r="K27" t="s">
        <v>843</v>
      </c>
      <c r="L27" t="s">
        <v>841</v>
      </c>
      <c r="M27" t="s">
        <v>1351</v>
      </c>
      <c r="N27" t="s">
        <v>20</v>
      </c>
      <c r="O27" t="s">
        <v>1350</v>
      </c>
      <c r="P27" t="s">
        <v>1349</v>
      </c>
      <c r="Q27" t="s">
        <v>1348</v>
      </c>
      <c r="R27" t="s">
        <v>1347</v>
      </c>
      <c r="S27" t="s">
        <v>1346</v>
      </c>
      <c r="T27" t="s">
        <v>1345</v>
      </c>
      <c r="U27" t="s">
        <v>1344</v>
      </c>
      <c r="V27" t="s">
        <v>1343</v>
      </c>
      <c r="W27" t="s">
        <v>1342</v>
      </c>
    </row>
    <row r="28" spans="1:23" x14ac:dyDescent="0.55000000000000004">
      <c r="A28">
        <v>202</v>
      </c>
      <c r="B28" t="s">
        <v>850</v>
      </c>
      <c r="C28" t="s">
        <v>846</v>
      </c>
      <c r="D28">
        <v>200</v>
      </c>
      <c r="E28" t="s">
        <v>1495</v>
      </c>
      <c r="F28" s="1">
        <v>41162</v>
      </c>
      <c r="G28">
        <v>7489</v>
      </c>
      <c r="H28">
        <v>5198</v>
      </c>
      <c r="I28" s="1">
        <v>41162</v>
      </c>
      <c r="J28" t="s">
        <v>852</v>
      </c>
      <c r="K28" t="s">
        <v>851</v>
      </c>
      <c r="L28" t="s">
        <v>849</v>
      </c>
      <c r="M28" t="s">
        <v>1351</v>
      </c>
      <c r="N28" t="s">
        <v>20</v>
      </c>
      <c r="O28" t="s">
        <v>1350</v>
      </c>
      <c r="P28" t="s">
        <v>1349</v>
      </c>
      <c r="Q28" t="s">
        <v>1348</v>
      </c>
      <c r="R28" t="s">
        <v>1347</v>
      </c>
      <c r="S28" t="s">
        <v>1346</v>
      </c>
      <c r="T28" t="s">
        <v>1345</v>
      </c>
      <c r="U28" t="s">
        <v>1344</v>
      </c>
      <c r="V28" t="s">
        <v>1343</v>
      </c>
      <c r="W28" t="s">
        <v>1342</v>
      </c>
    </row>
    <row r="29" spans="1:23" x14ac:dyDescent="0.55000000000000004">
      <c r="A29">
        <v>202</v>
      </c>
      <c r="B29" t="s">
        <v>858</v>
      </c>
      <c r="C29" t="s">
        <v>854</v>
      </c>
      <c r="D29">
        <v>200</v>
      </c>
      <c r="E29" t="s">
        <v>1494</v>
      </c>
      <c r="F29" s="1">
        <v>41162</v>
      </c>
      <c r="G29">
        <v>5734</v>
      </c>
      <c r="H29">
        <v>3990</v>
      </c>
      <c r="I29" s="1">
        <v>41162</v>
      </c>
      <c r="J29" t="s">
        <v>860</v>
      </c>
      <c r="K29" t="s">
        <v>859</v>
      </c>
      <c r="L29" t="s">
        <v>857</v>
      </c>
      <c r="M29" t="s">
        <v>1351</v>
      </c>
      <c r="N29" t="s">
        <v>20</v>
      </c>
      <c r="O29" t="s">
        <v>1350</v>
      </c>
      <c r="P29" t="s">
        <v>1349</v>
      </c>
      <c r="Q29" t="s">
        <v>1348</v>
      </c>
      <c r="R29" t="s">
        <v>1347</v>
      </c>
      <c r="S29" t="s">
        <v>1346</v>
      </c>
      <c r="T29" t="s">
        <v>1345</v>
      </c>
      <c r="U29" t="s">
        <v>1344</v>
      </c>
      <c r="V29" t="s">
        <v>1343</v>
      </c>
      <c r="W29" t="s">
        <v>1342</v>
      </c>
    </row>
    <row r="30" spans="1:23" x14ac:dyDescent="0.55000000000000004">
      <c r="A30">
        <v>202</v>
      </c>
      <c r="B30" t="s">
        <v>866</v>
      </c>
      <c r="C30" t="s">
        <v>862</v>
      </c>
      <c r="D30">
        <v>200</v>
      </c>
      <c r="E30" t="s">
        <v>1493</v>
      </c>
      <c r="F30" s="1">
        <v>41162</v>
      </c>
      <c r="G30">
        <v>5885</v>
      </c>
      <c r="H30">
        <v>4092</v>
      </c>
      <c r="I30" s="1">
        <v>41162</v>
      </c>
      <c r="J30" t="s">
        <v>868</v>
      </c>
      <c r="K30" t="s">
        <v>867</v>
      </c>
      <c r="L30" t="s">
        <v>865</v>
      </c>
      <c r="M30" t="s">
        <v>1351</v>
      </c>
      <c r="N30" t="s">
        <v>20</v>
      </c>
      <c r="O30" t="s">
        <v>1350</v>
      </c>
      <c r="P30" t="s">
        <v>1349</v>
      </c>
      <c r="Q30" t="s">
        <v>1348</v>
      </c>
      <c r="R30" t="s">
        <v>1347</v>
      </c>
      <c r="S30" t="s">
        <v>1346</v>
      </c>
      <c r="T30" t="s">
        <v>1345</v>
      </c>
      <c r="U30" t="s">
        <v>1344</v>
      </c>
      <c r="V30" t="s">
        <v>1343</v>
      </c>
      <c r="W30" t="s">
        <v>1342</v>
      </c>
    </row>
    <row r="31" spans="1:23" x14ac:dyDescent="0.55000000000000004">
      <c r="A31">
        <v>202</v>
      </c>
      <c r="B31" t="s">
        <v>874</v>
      </c>
      <c r="C31" t="s">
        <v>870</v>
      </c>
      <c r="D31">
        <v>200</v>
      </c>
      <c r="E31" t="s">
        <v>1492</v>
      </c>
      <c r="F31" s="1">
        <v>41162</v>
      </c>
      <c r="G31">
        <v>7717</v>
      </c>
      <c r="H31">
        <v>5331</v>
      </c>
      <c r="I31" s="1">
        <v>41162</v>
      </c>
      <c r="J31" t="s">
        <v>876</v>
      </c>
      <c r="K31" t="s">
        <v>875</v>
      </c>
      <c r="L31" t="s">
        <v>873</v>
      </c>
      <c r="M31" t="s">
        <v>1351</v>
      </c>
      <c r="N31" t="s">
        <v>20</v>
      </c>
      <c r="O31" t="s">
        <v>1350</v>
      </c>
      <c r="P31" t="s">
        <v>1349</v>
      </c>
      <c r="Q31" t="s">
        <v>1348</v>
      </c>
      <c r="R31" t="s">
        <v>1347</v>
      </c>
      <c r="S31" t="s">
        <v>1346</v>
      </c>
      <c r="T31" t="s">
        <v>1345</v>
      </c>
      <c r="U31" t="s">
        <v>1344</v>
      </c>
      <c r="V31" t="s">
        <v>1343</v>
      </c>
      <c r="W31" t="s">
        <v>1342</v>
      </c>
    </row>
    <row r="32" spans="1:23" x14ac:dyDescent="0.55000000000000004">
      <c r="A32">
        <v>202</v>
      </c>
      <c r="B32" t="s">
        <v>882</v>
      </c>
      <c r="C32" t="s">
        <v>878</v>
      </c>
      <c r="D32">
        <v>200</v>
      </c>
      <c r="E32" t="s">
        <v>1491</v>
      </c>
      <c r="F32" s="1">
        <v>41162</v>
      </c>
      <c r="G32">
        <v>5994</v>
      </c>
      <c r="H32">
        <v>4168</v>
      </c>
      <c r="I32" s="1">
        <v>41162</v>
      </c>
      <c r="J32" t="s">
        <v>884</v>
      </c>
      <c r="K32" t="s">
        <v>883</v>
      </c>
      <c r="L32" t="s">
        <v>881</v>
      </c>
      <c r="M32" t="s">
        <v>1351</v>
      </c>
      <c r="N32" t="s">
        <v>20</v>
      </c>
      <c r="O32" t="s">
        <v>1350</v>
      </c>
      <c r="P32" t="s">
        <v>1349</v>
      </c>
      <c r="Q32" t="s">
        <v>1348</v>
      </c>
      <c r="R32" t="s">
        <v>1347</v>
      </c>
      <c r="S32" t="s">
        <v>1346</v>
      </c>
      <c r="T32" t="s">
        <v>1345</v>
      </c>
      <c r="U32" t="s">
        <v>1344</v>
      </c>
      <c r="V32" t="s">
        <v>1343</v>
      </c>
      <c r="W32" t="s">
        <v>1342</v>
      </c>
    </row>
    <row r="33" spans="1:23" x14ac:dyDescent="0.55000000000000004">
      <c r="A33">
        <v>202</v>
      </c>
      <c r="B33" t="s">
        <v>890</v>
      </c>
      <c r="C33" t="s">
        <v>886</v>
      </c>
      <c r="D33">
        <v>200</v>
      </c>
      <c r="E33" t="s">
        <v>1490</v>
      </c>
      <c r="F33" s="1">
        <v>41162</v>
      </c>
      <c r="G33">
        <v>5830</v>
      </c>
      <c r="H33">
        <v>4067</v>
      </c>
      <c r="I33" s="1">
        <v>41162</v>
      </c>
      <c r="J33" t="s">
        <v>892</v>
      </c>
      <c r="K33" t="s">
        <v>891</v>
      </c>
      <c r="L33" t="s">
        <v>889</v>
      </c>
      <c r="M33" t="s">
        <v>1351</v>
      </c>
      <c r="N33" t="s">
        <v>20</v>
      </c>
      <c r="O33" t="s">
        <v>1350</v>
      </c>
      <c r="P33" t="s">
        <v>1349</v>
      </c>
      <c r="Q33" t="s">
        <v>1348</v>
      </c>
      <c r="R33" t="s">
        <v>1347</v>
      </c>
      <c r="S33" t="s">
        <v>1346</v>
      </c>
      <c r="T33" t="s">
        <v>1345</v>
      </c>
      <c r="U33" t="s">
        <v>1344</v>
      </c>
      <c r="V33" t="s">
        <v>1343</v>
      </c>
      <c r="W33" t="s">
        <v>1342</v>
      </c>
    </row>
    <row r="34" spans="1:23" x14ac:dyDescent="0.55000000000000004">
      <c r="A34">
        <v>202</v>
      </c>
      <c r="B34" t="s">
        <v>898</v>
      </c>
      <c r="C34" t="s">
        <v>894</v>
      </c>
      <c r="D34">
        <v>200</v>
      </c>
      <c r="E34" t="s">
        <v>1489</v>
      </c>
      <c r="F34" s="1">
        <v>41162</v>
      </c>
      <c r="G34">
        <v>6352</v>
      </c>
      <c r="H34">
        <v>4413</v>
      </c>
      <c r="I34" s="1">
        <v>41162</v>
      </c>
      <c r="J34" t="s">
        <v>900</v>
      </c>
      <c r="K34" t="s">
        <v>899</v>
      </c>
      <c r="L34" t="s">
        <v>897</v>
      </c>
      <c r="M34" t="s">
        <v>1351</v>
      </c>
      <c r="N34" t="s">
        <v>20</v>
      </c>
      <c r="O34" t="s">
        <v>1350</v>
      </c>
      <c r="P34" t="s">
        <v>1349</v>
      </c>
      <c r="Q34" t="s">
        <v>1348</v>
      </c>
      <c r="R34" t="s">
        <v>1347</v>
      </c>
      <c r="S34" t="s">
        <v>1346</v>
      </c>
      <c r="T34" t="s">
        <v>1345</v>
      </c>
      <c r="U34" t="s">
        <v>1344</v>
      </c>
      <c r="V34" t="s">
        <v>1343</v>
      </c>
      <c r="W34" t="s">
        <v>1342</v>
      </c>
    </row>
    <row r="35" spans="1:23" x14ac:dyDescent="0.55000000000000004">
      <c r="A35">
        <v>202</v>
      </c>
      <c r="B35" t="s">
        <v>906</v>
      </c>
      <c r="C35" t="s">
        <v>902</v>
      </c>
      <c r="D35">
        <v>200</v>
      </c>
      <c r="E35" t="s">
        <v>1488</v>
      </c>
      <c r="F35" s="1">
        <v>41162</v>
      </c>
      <c r="G35">
        <v>5668</v>
      </c>
      <c r="H35">
        <v>3931</v>
      </c>
      <c r="I35" s="1">
        <v>41162</v>
      </c>
      <c r="J35" t="s">
        <v>908</v>
      </c>
      <c r="K35" t="s">
        <v>907</v>
      </c>
      <c r="L35" t="s">
        <v>905</v>
      </c>
      <c r="M35" t="s">
        <v>1351</v>
      </c>
      <c r="N35" t="s">
        <v>20</v>
      </c>
      <c r="O35" t="s">
        <v>1350</v>
      </c>
      <c r="P35" t="s">
        <v>1349</v>
      </c>
      <c r="Q35" t="s">
        <v>1348</v>
      </c>
      <c r="R35" t="s">
        <v>1347</v>
      </c>
      <c r="S35" t="s">
        <v>1346</v>
      </c>
      <c r="T35" t="s">
        <v>1345</v>
      </c>
      <c r="U35" t="s">
        <v>1344</v>
      </c>
      <c r="V35" t="s">
        <v>1343</v>
      </c>
      <c r="W35" t="s">
        <v>1342</v>
      </c>
    </row>
    <row r="36" spans="1:23" x14ac:dyDescent="0.55000000000000004">
      <c r="A36">
        <v>202</v>
      </c>
      <c r="B36" t="s">
        <v>914</v>
      </c>
      <c r="C36" t="s">
        <v>910</v>
      </c>
      <c r="D36">
        <v>200</v>
      </c>
      <c r="E36" t="s">
        <v>1487</v>
      </c>
      <c r="F36" s="1">
        <v>41162</v>
      </c>
      <c r="G36">
        <v>5317</v>
      </c>
      <c r="H36">
        <v>3707</v>
      </c>
      <c r="I36" s="1">
        <v>41162</v>
      </c>
      <c r="J36" t="s">
        <v>916</v>
      </c>
      <c r="K36" t="s">
        <v>915</v>
      </c>
      <c r="L36" t="s">
        <v>913</v>
      </c>
      <c r="M36" t="s">
        <v>1351</v>
      </c>
      <c r="N36" t="s">
        <v>20</v>
      </c>
      <c r="O36" t="s">
        <v>1350</v>
      </c>
      <c r="P36" t="s">
        <v>1349</v>
      </c>
      <c r="Q36" t="s">
        <v>1348</v>
      </c>
      <c r="R36" t="s">
        <v>1347</v>
      </c>
      <c r="S36" t="s">
        <v>1346</v>
      </c>
      <c r="T36" t="s">
        <v>1345</v>
      </c>
      <c r="U36" t="s">
        <v>1344</v>
      </c>
      <c r="V36" t="s">
        <v>1343</v>
      </c>
      <c r="W36" t="s">
        <v>1342</v>
      </c>
    </row>
    <row r="37" spans="1:23" x14ac:dyDescent="0.55000000000000004">
      <c r="A37">
        <v>202</v>
      </c>
      <c r="B37" t="s">
        <v>922</v>
      </c>
      <c r="C37" t="s">
        <v>918</v>
      </c>
      <c r="D37">
        <v>200</v>
      </c>
      <c r="E37" t="s">
        <v>1486</v>
      </c>
      <c r="F37" s="1">
        <v>41162</v>
      </c>
      <c r="G37">
        <v>4956</v>
      </c>
      <c r="H37">
        <v>3453</v>
      </c>
      <c r="I37" s="1">
        <v>41162</v>
      </c>
      <c r="J37" t="s">
        <v>924</v>
      </c>
      <c r="K37" t="s">
        <v>923</v>
      </c>
      <c r="L37" t="s">
        <v>921</v>
      </c>
      <c r="M37" t="s">
        <v>1351</v>
      </c>
      <c r="N37" t="s">
        <v>20</v>
      </c>
      <c r="O37" t="s">
        <v>1350</v>
      </c>
      <c r="P37" t="s">
        <v>1349</v>
      </c>
      <c r="Q37" t="s">
        <v>1348</v>
      </c>
      <c r="R37" t="s">
        <v>1347</v>
      </c>
      <c r="S37" t="s">
        <v>1346</v>
      </c>
      <c r="T37" t="s">
        <v>1345</v>
      </c>
      <c r="U37" t="s">
        <v>1344</v>
      </c>
      <c r="V37" t="s">
        <v>1343</v>
      </c>
      <c r="W37" t="s">
        <v>1342</v>
      </c>
    </row>
    <row r="38" spans="1:23" x14ac:dyDescent="0.55000000000000004">
      <c r="A38">
        <v>202</v>
      </c>
      <c r="B38" t="s">
        <v>930</v>
      </c>
      <c r="C38" t="s">
        <v>926</v>
      </c>
      <c r="D38">
        <v>200</v>
      </c>
      <c r="E38" t="s">
        <v>1485</v>
      </c>
      <c r="F38" s="1">
        <v>41162</v>
      </c>
      <c r="G38">
        <v>6065</v>
      </c>
      <c r="H38">
        <v>4215</v>
      </c>
      <c r="I38" s="1">
        <v>41162</v>
      </c>
      <c r="J38" t="s">
        <v>932</v>
      </c>
      <c r="K38" t="s">
        <v>931</v>
      </c>
      <c r="L38" t="s">
        <v>929</v>
      </c>
      <c r="M38" t="s">
        <v>1351</v>
      </c>
      <c r="N38" t="s">
        <v>20</v>
      </c>
      <c r="O38" t="s">
        <v>1350</v>
      </c>
      <c r="P38" t="s">
        <v>1349</v>
      </c>
      <c r="Q38" t="s">
        <v>1348</v>
      </c>
      <c r="R38" t="s">
        <v>1347</v>
      </c>
      <c r="S38" t="s">
        <v>1346</v>
      </c>
      <c r="T38" t="s">
        <v>1345</v>
      </c>
      <c r="U38" t="s">
        <v>1344</v>
      </c>
      <c r="V38" t="s">
        <v>1343</v>
      </c>
      <c r="W38" t="s">
        <v>1342</v>
      </c>
    </row>
    <row r="39" spans="1:23" x14ac:dyDescent="0.55000000000000004">
      <c r="A39">
        <v>202</v>
      </c>
      <c r="B39" t="s">
        <v>938</v>
      </c>
      <c r="C39" t="s">
        <v>934</v>
      </c>
      <c r="D39">
        <v>200</v>
      </c>
      <c r="E39" t="s">
        <v>1484</v>
      </c>
      <c r="F39" s="1">
        <v>41162</v>
      </c>
      <c r="G39">
        <v>5428</v>
      </c>
      <c r="H39">
        <v>3784</v>
      </c>
      <c r="I39" s="1">
        <v>41162</v>
      </c>
      <c r="J39" t="s">
        <v>940</v>
      </c>
      <c r="K39" t="s">
        <v>939</v>
      </c>
      <c r="L39" t="s">
        <v>937</v>
      </c>
      <c r="M39" t="s">
        <v>1351</v>
      </c>
      <c r="N39" t="s">
        <v>20</v>
      </c>
      <c r="O39" t="s">
        <v>1350</v>
      </c>
      <c r="P39" t="s">
        <v>1349</v>
      </c>
      <c r="Q39" t="s">
        <v>1348</v>
      </c>
      <c r="R39" t="s">
        <v>1347</v>
      </c>
      <c r="S39" t="s">
        <v>1346</v>
      </c>
      <c r="T39" t="s">
        <v>1345</v>
      </c>
      <c r="U39" t="s">
        <v>1344</v>
      </c>
      <c r="V39" t="s">
        <v>1343</v>
      </c>
      <c r="W39" t="s">
        <v>1342</v>
      </c>
    </row>
    <row r="40" spans="1:23" x14ac:dyDescent="0.55000000000000004">
      <c r="A40">
        <v>202</v>
      </c>
      <c r="B40" t="s">
        <v>946</v>
      </c>
      <c r="C40" t="s">
        <v>942</v>
      </c>
      <c r="D40">
        <v>200</v>
      </c>
      <c r="E40" t="s">
        <v>1483</v>
      </c>
      <c r="F40" s="1">
        <v>41162</v>
      </c>
      <c r="G40">
        <v>9623</v>
      </c>
      <c r="H40">
        <v>6833</v>
      </c>
      <c r="I40" s="1">
        <v>41162</v>
      </c>
      <c r="J40" t="s">
        <v>948</v>
      </c>
      <c r="K40" t="s">
        <v>947</v>
      </c>
      <c r="L40" t="s">
        <v>945</v>
      </c>
      <c r="M40" t="s">
        <v>1351</v>
      </c>
      <c r="N40" t="s">
        <v>20</v>
      </c>
      <c r="O40" t="s">
        <v>1350</v>
      </c>
      <c r="P40" t="s">
        <v>1349</v>
      </c>
      <c r="Q40" t="s">
        <v>1348</v>
      </c>
      <c r="R40" t="s">
        <v>1347</v>
      </c>
      <c r="S40" t="s">
        <v>1346</v>
      </c>
      <c r="T40" t="s">
        <v>1345</v>
      </c>
      <c r="U40" t="s">
        <v>1344</v>
      </c>
      <c r="V40" t="s">
        <v>1343</v>
      </c>
      <c r="W40" t="s">
        <v>1342</v>
      </c>
    </row>
    <row r="41" spans="1:23" x14ac:dyDescent="0.55000000000000004">
      <c r="A41">
        <v>202</v>
      </c>
      <c r="B41" t="s">
        <v>954</v>
      </c>
      <c r="C41" t="s">
        <v>950</v>
      </c>
      <c r="D41">
        <v>200</v>
      </c>
      <c r="E41" t="s">
        <v>1482</v>
      </c>
      <c r="F41" s="1">
        <v>41162</v>
      </c>
      <c r="G41">
        <v>9030</v>
      </c>
      <c r="H41">
        <v>6393</v>
      </c>
      <c r="I41" s="1">
        <v>41162</v>
      </c>
      <c r="J41" t="s">
        <v>956</v>
      </c>
      <c r="K41" t="s">
        <v>955</v>
      </c>
      <c r="L41" t="s">
        <v>953</v>
      </c>
      <c r="M41" t="s">
        <v>1351</v>
      </c>
      <c r="N41" t="s">
        <v>20</v>
      </c>
      <c r="O41" t="s">
        <v>1350</v>
      </c>
      <c r="P41" t="s">
        <v>1349</v>
      </c>
      <c r="Q41" t="s">
        <v>1348</v>
      </c>
      <c r="R41" t="s">
        <v>1347</v>
      </c>
      <c r="S41" t="s">
        <v>1346</v>
      </c>
      <c r="T41" t="s">
        <v>1345</v>
      </c>
      <c r="U41" t="s">
        <v>1344</v>
      </c>
      <c r="V41" t="s">
        <v>1343</v>
      </c>
      <c r="W41" t="s">
        <v>1342</v>
      </c>
    </row>
    <row r="42" spans="1:23" x14ac:dyDescent="0.55000000000000004">
      <c r="A42">
        <v>202</v>
      </c>
      <c r="B42" t="s">
        <v>962</v>
      </c>
      <c r="C42" t="s">
        <v>958</v>
      </c>
      <c r="D42">
        <v>200</v>
      </c>
      <c r="E42" t="s">
        <v>1481</v>
      </c>
      <c r="F42" s="1">
        <v>41162</v>
      </c>
      <c r="G42">
        <v>9752</v>
      </c>
      <c r="H42">
        <v>6906</v>
      </c>
      <c r="I42" s="1">
        <v>41162</v>
      </c>
      <c r="J42" t="s">
        <v>964</v>
      </c>
      <c r="K42" t="s">
        <v>963</v>
      </c>
      <c r="L42" t="s">
        <v>961</v>
      </c>
      <c r="M42" t="s">
        <v>1351</v>
      </c>
      <c r="N42" t="s">
        <v>20</v>
      </c>
      <c r="O42" t="s">
        <v>1350</v>
      </c>
      <c r="P42" t="s">
        <v>1349</v>
      </c>
      <c r="Q42" t="s">
        <v>1348</v>
      </c>
      <c r="R42" t="s">
        <v>1347</v>
      </c>
      <c r="S42" t="s">
        <v>1346</v>
      </c>
      <c r="T42" t="s">
        <v>1345</v>
      </c>
      <c r="U42" t="s">
        <v>1344</v>
      </c>
      <c r="V42" t="s">
        <v>1343</v>
      </c>
      <c r="W42" t="s">
        <v>1342</v>
      </c>
    </row>
    <row r="43" spans="1:23" x14ac:dyDescent="0.55000000000000004">
      <c r="A43">
        <v>202</v>
      </c>
      <c r="B43" t="s">
        <v>970</v>
      </c>
      <c r="C43" t="s">
        <v>966</v>
      </c>
      <c r="D43">
        <v>200</v>
      </c>
      <c r="E43" t="s">
        <v>1480</v>
      </c>
      <c r="F43" s="1">
        <v>41162</v>
      </c>
      <c r="G43">
        <v>8795</v>
      </c>
      <c r="H43">
        <v>6249</v>
      </c>
      <c r="I43" s="1">
        <v>41162</v>
      </c>
      <c r="J43" t="s">
        <v>972</v>
      </c>
      <c r="K43" t="s">
        <v>971</v>
      </c>
      <c r="L43" t="s">
        <v>969</v>
      </c>
      <c r="M43" t="s">
        <v>1351</v>
      </c>
      <c r="N43" t="s">
        <v>20</v>
      </c>
      <c r="O43" t="s">
        <v>1350</v>
      </c>
      <c r="P43" t="s">
        <v>1349</v>
      </c>
      <c r="Q43" t="s">
        <v>1348</v>
      </c>
      <c r="R43" t="s">
        <v>1347</v>
      </c>
      <c r="S43" t="s">
        <v>1346</v>
      </c>
      <c r="T43" t="s">
        <v>1345</v>
      </c>
      <c r="U43" t="s">
        <v>1344</v>
      </c>
      <c r="V43" t="s">
        <v>1343</v>
      </c>
      <c r="W43" t="s">
        <v>1342</v>
      </c>
    </row>
    <row r="44" spans="1:23" x14ac:dyDescent="0.55000000000000004">
      <c r="A44">
        <v>202</v>
      </c>
      <c r="B44" t="s">
        <v>978</v>
      </c>
      <c r="C44" t="s">
        <v>974</v>
      </c>
      <c r="D44">
        <v>200</v>
      </c>
      <c r="E44" t="s">
        <v>1479</v>
      </c>
      <c r="F44" s="1">
        <v>41162</v>
      </c>
      <c r="G44">
        <v>8803</v>
      </c>
      <c r="H44">
        <v>6274</v>
      </c>
      <c r="I44" s="1">
        <v>41162</v>
      </c>
      <c r="J44" t="s">
        <v>980</v>
      </c>
      <c r="K44" t="s">
        <v>979</v>
      </c>
      <c r="L44" t="s">
        <v>977</v>
      </c>
      <c r="M44" t="s">
        <v>1351</v>
      </c>
      <c r="N44" t="s">
        <v>20</v>
      </c>
      <c r="O44" t="s">
        <v>1350</v>
      </c>
      <c r="P44" t="s">
        <v>1349</v>
      </c>
      <c r="Q44" t="s">
        <v>1348</v>
      </c>
      <c r="R44" t="s">
        <v>1347</v>
      </c>
      <c r="S44" t="s">
        <v>1346</v>
      </c>
      <c r="T44" t="s">
        <v>1345</v>
      </c>
      <c r="U44" t="s">
        <v>1344</v>
      </c>
      <c r="V44" t="s">
        <v>1343</v>
      </c>
      <c r="W44" t="s">
        <v>1342</v>
      </c>
    </row>
    <row r="45" spans="1:23" x14ac:dyDescent="0.55000000000000004">
      <c r="A45">
        <v>202</v>
      </c>
      <c r="B45" t="s">
        <v>986</v>
      </c>
      <c r="C45" t="s">
        <v>982</v>
      </c>
      <c r="D45">
        <v>200</v>
      </c>
      <c r="E45" t="s">
        <v>1478</v>
      </c>
      <c r="F45" s="1">
        <v>41162</v>
      </c>
      <c r="G45">
        <v>8753</v>
      </c>
      <c r="H45">
        <v>6210</v>
      </c>
      <c r="I45" s="1">
        <v>41162</v>
      </c>
      <c r="J45" t="s">
        <v>988</v>
      </c>
      <c r="K45" t="s">
        <v>987</v>
      </c>
      <c r="L45" t="s">
        <v>985</v>
      </c>
      <c r="M45" t="s">
        <v>1351</v>
      </c>
      <c r="N45" t="s">
        <v>20</v>
      </c>
      <c r="O45" t="s">
        <v>1350</v>
      </c>
      <c r="P45" t="s">
        <v>1349</v>
      </c>
      <c r="Q45" t="s">
        <v>1348</v>
      </c>
      <c r="R45" t="s">
        <v>1347</v>
      </c>
      <c r="S45" t="s">
        <v>1346</v>
      </c>
      <c r="T45" t="s">
        <v>1345</v>
      </c>
      <c r="U45" t="s">
        <v>1344</v>
      </c>
      <c r="V45" t="s">
        <v>1343</v>
      </c>
      <c r="W45" t="s">
        <v>1342</v>
      </c>
    </row>
    <row r="46" spans="1:23" x14ac:dyDescent="0.55000000000000004">
      <c r="A46">
        <v>202</v>
      </c>
      <c r="B46" t="s">
        <v>1002</v>
      </c>
      <c r="C46" t="s">
        <v>998</v>
      </c>
      <c r="D46">
        <v>200</v>
      </c>
      <c r="E46" t="s">
        <v>1477</v>
      </c>
      <c r="F46" s="1">
        <v>41162</v>
      </c>
      <c r="G46">
        <v>7054</v>
      </c>
      <c r="H46">
        <v>5009</v>
      </c>
      <c r="I46" s="1">
        <v>41162</v>
      </c>
      <c r="J46" t="s">
        <v>1004</v>
      </c>
      <c r="K46" t="s">
        <v>1003</v>
      </c>
      <c r="L46" t="s">
        <v>1001</v>
      </c>
      <c r="M46" t="s">
        <v>1351</v>
      </c>
      <c r="N46" t="s">
        <v>20</v>
      </c>
      <c r="O46" t="s">
        <v>1350</v>
      </c>
      <c r="P46" t="s">
        <v>1349</v>
      </c>
      <c r="Q46" t="s">
        <v>1348</v>
      </c>
      <c r="R46" t="s">
        <v>1347</v>
      </c>
      <c r="S46" t="s">
        <v>1346</v>
      </c>
      <c r="T46" t="s">
        <v>1345</v>
      </c>
      <c r="U46" t="s">
        <v>1344</v>
      </c>
      <c r="V46" t="s">
        <v>1343</v>
      </c>
      <c r="W46" t="s">
        <v>1342</v>
      </c>
    </row>
    <row r="47" spans="1:23" x14ac:dyDescent="0.55000000000000004">
      <c r="A47">
        <v>202</v>
      </c>
      <c r="B47" t="s">
        <v>1010</v>
      </c>
      <c r="C47" t="s">
        <v>1006</v>
      </c>
      <c r="D47">
        <v>200</v>
      </c>
      <c r="E47" t="s">
        <v>1476</v>
      </c>
      <c r="F47" s="1">
        <v>41162</v>
      </c>
      <c r="G47">
        <v>7114</v>
      </c>
      <c r="H47">
        <v>5054</v>
      </c>
      <c r="I47" s="1">
        <v>41162</v>
      </c>
      <c r="J47" t="s">
        <v>1012</v>
      </c>
      <c r="K47" t="s">
        <v>1011</v>
      </c>
      <c r="L47" t="s">
        <v>1009</v>
      </c>
      <c r="M47" t="s">
        <v>1351</v>
      </c>
      <c r="N47" t="s">
        <v>20</v>
      </c>
      <c r="O47" t="s">
        <v>1350</v>
      </c>
      <c r="P47" t="s">
        <v>1349</v>
      </c>
      <c r="Q47" t="s">
        <v>1348</v>
      </c>
      <c r="R47" t="s">
        <v>1347</v>
      </c>
      <c r="S47" t="s">
        <v>1346</v>
      </c>
      <c r="T47" t="s">
        <v>1345</v>
      </c>
      <c r="U47" t="s">
        <v>1344</v>
      </c>
      <c r="V47" t="s">
        <v>1343</v>
      </c>
      <c r="W47" t="s">
        <v>1342</v>
      </c>
    </row>
    <row r="48" spans="1:23" x14ac:dyDescent="0.55000000000000004">
      <c r="A48">
        <v>202</v>
      </c>
      <c r="B48" t="s">
        <v>1018</v>
      </c>
      <c r="C48" t="s">
        <v>1014</v>
      </c>
      <c r="D48">
        <v>200</v>
      </c>
      <c r="E48" t="s">
        <v>1475</v>
      </c>
      <c r="F48" s="1">
        <v>41162</v>
      </c>
      <c r="G48">
        <v>8518</v>
      </c>
      <c r="H48">
        <v>6051</v>
      </c>
      <c r="I48" s="1">
        <v>41162</v>
      </c>
      <c r="J48" t="s">
        <v>1020</v>
      </c>
      <c r="K48" t="s">
        <v>1019</v>
      </c>
      <c r="L48" t="s">
        <v>1017</v>
      </c>
      <c r="M48" t="s">
        <v>1351</v>
      </c>
      <c r="N48" t="s">
        <v>20</v>
      </c>
      <c r="O48" t="s">
        <v>1350</v>
      </c>
      <c r="P48" t="s">
        <v>1349</v>
      </c>
      <c r="Q48" t="s">
        <v>1348</v>
      </c>
      <c r="R48" t="s">
        <v>1347</v>
      </c>
      <c r="S48" t="s">
        <v>1346</v>
      </c>
      <c r="T48" t="s">
        <v>1345</v>
      </c>
      <c r="U48" t="s">
        <v>1344</v>
      </c>
      <c r="V48" t="s">
        <v>1343</v>
      </c>
      <c r="W48" t="s">
        <v>1342</v>
      </c>
    </row>
    <row r="49" spans="1:23" x14ac:dyDescent="0.55000000000000004">
      <c r="A49">
        <v>202</v>
      </c>
      <c r="B49" t="s">
        <v>1026</v>
      </c>
      <c r="C49" t="s">
        <v>1022</v>
      </c>
      <c r="D49">
        <v>200</v>
      </c>
      <c r="E49" t="s">
        <v>1474</v>
      </c>
      <c r="F49" s="1">
        <v>41162</v>
      </c>
      <c r="G49">
        <v>6145</v>
      </c>
      <c r="H49">
        <v>4355</v>
      </c>
      <c r="I49" s="1">
        <v>41162</v>
      </c>
      <c r="J49" t="s">
        <v>1028</v>
      </c>
      <c r="K49" t="s">
        <v>1027</v>
      </c>
      <c r="L49" t="s">
        <v>1025</v>
      </c>
      <c r="M49" t="s">
        <v>1351</v>
      </c>
      <c r="N49" t="s">
        <v>20</v>
      </c>
      <c r="O49" t="s">
        <v>1350</v>
      </c>
      <c r="P49" t="s">
        <v>1349</v>
      </c>
      <c r="Q49" t="s">
        <v>1348</v>
      </c>
      <c r="R49" t="s">
        <v>1347</v>
      </c>
      <c r="S49" t="s">
        <v>1346</v>
      </c>
      <c r="T49" t="s">
        <v>1345</v>
      </c>
      <c r="U49" t="s">
        <v>1344</v>
      </c>
      <c r="V49" t="s">
        <v>1343</v>
      </c>
      <c r="W49" t="s">
        <v>1342</v>
      </c>
    </row>
    <row r="50" spans="1:23" x14ac:dyDescent="0.55000000000000004">
      <c r="A50">
        <v>202</v>
      </c>
      <c r="B50" t="s">
        <v>1034</v>
      </c>
      <c r="C50" t="s">
        <v>1030</v>
      </c>
      <c r="D50">
        <v>200</v>
      </c>
      <c r="E50" t="s">
        <v>1473</v>
      </c>
      <c r="F50" s="1">
        <v>41162</v>
      </c>
      <c r="G50">
        <v>6027</v>
      </c>
      <c r="H50">
        <v>4211</v>
      </c>
      <c r="I50" s="1">
        <v>41162</v>
      </c>
      <c r="J50" t="s">
        <v>1036</v>
      </c>
      <c r="K50" t="s">
        <v>1035</v>
      </c>
      <c r="L50" t="s">
        <v>1033</v>
      </c>
      <c r="M50" t="s">
        <v>1351</v>
      </c>
      <c r="N50" t="s">
        <v>20</v>
      </c>
      <c r="O50" t="s">
        <v>1350</v>
      </c>
      <c r="P50" t="s">
        <v>1349</v>
      </c>
      <c r="Q50" t="s">
        <v>1348</v>
      </c>
      <c r="R50" t="s">
        <v>1347</v>
      </c>
      <c r="S50" t="s">
        <v>1346</v>
      </c>
      <c r="T50" t="s">
        <v>1345</v>
      </c>
      <c r="U50" t="s">
        <v>1344</v>
      </c>
      <c r="V50" t="s">
        <v>1343</v>
      </c>
      <c r="W50" t="s">
        <v>1342</v>
      </c>
    </row>
    <row r="51" spans="1:23" x14ac:dyDescent="0.55000000000000004">
      <c r="A51">
        <v>202</v>
      </c>
      <c r="B51" t="s">
        <v>1042</v>
      </c>
      <c r="C51" t="s">
        <v>1038</v>
      </c>
      <c r="D51">
        <v>200</v>
      </c>
      <c r="E51" t="s">
        <v>1472</v>
      </c>
      <c r="F51" s="1">
        <v>41162</v>
      </c>
      <c r="G51">
        <v>7690</v>
      </c>
      <c r="H51">
        <v>5375</v>
      </c>
      <c r="I51" s="1">
        <v>41162</v>
      </c>
      <c r="J51" t="s">
        <v>1044</v>
      </c>
      <c r="K51" t="s">
        <v>1043</v>
      </c>
      <c r="L51" t="s">
        <v>1041</v>
      </c>
      <c r="M51" t="s">
        <v>1351</v>
      </c>
      <c r="N51" t="s">
        <v>20</v>
      </c>
      <c r="O51" t="s">
        <v>1350</v>
      </c>
      <c r="P51" t="s">
        <v>1349</v>
      </c>
      <c r="Q51" t="s">
        <v>1348</v>
      </c>
      <c r="R51" t="s">
        <v>1347</v>
      </c>
      <c r="S51" t="s">
        <v>1346</v>
      </c>
      <c r="T51" t="s">
        <v>1345</v>
      </c>
      <c r="U51" t="s">
        <v>1344</v>
      </c>
      <c r="V51" t="s">
        <v>1343</v>
      </c>
      <c r="W51" t="s">
        <v>1342</v>
      </c>
    </row>
    <row r="52" spans="1:23" x14ac:dyDescent="0.55000000000000004">
      <c r="A52">
        <v>202</v>
      </c>
      <c r="B52" t="s">
        <v>1050</v>
      </c>
      <c r="C52" t="s">
        <v>1046</v>
      </c>
      <c r="D52">
        <v>200</v>
      </c>
      <c r="E52" t="s">
        <v>1471</v>
      </c>
      <c r="F52" s="1">
        <v>41162</v>
      </c>
      <c r="G52">
        <v>7013</v>
      </c>
      <c r="H52">
        <v>4900</v>
      </c>
      <c r="I52" s="1">
        <v>41162</v>
      </c>
      <c r="J52" t="s">
        <v>1052</v>
      </c>
      <c r="K52" t="s">
        <v>1051</v>
      </c>
      <c r="L52" t="s">
        <v>1049</v>
      </c>
      <c r="M52" t="s">
        <v>1351</v>
      </c>
      <c r="N52" t="s">
        <v>20</v>
      </c>
      <c r="O52" t="s">
        <v>1350</v>
      </c>
      <c r="P52" t="s">
        <v>1349</v>
      </c>
      <c r="Q52" t="s">
        <v>1348</v>
      </c>
      <c r="R52" t="s">
        <v>1347</v>
      </c>
      <c r="S52" t="s">
        <v>1346</v>
      </c>
      <c r="T52" t="s">
        <v>1345</v>
      </c>
      <c r="U52" t="s">
        <v>1344</v>
      </c>
      <c r="V52" t="s">
        <v>1343</v>
      </c>
      <c r="W52" t="s">
        <v>1342</v>
      </c>
    </row>
    <row r="53" spans="1:23" x14ac:dyDescent="0.55000000000000004">
      <c r="A53">
        <v>202</v>
      </c>
      <c r="B53" t="s">
        <v>1058</v>
      </c>
      <c r="C53" t="s">
        <v>1054</v>
      </c>
      <c r="D53">
        <v>200</v>
      </c>
      <c r="E53" t="s">
        <v>1470</v>
      </c>
      <c r="F53" s="1">
        <v>41162</v>
      </c>
      <c r="G53">
        <v>6882</v>
      </c>
      <c r="H53">
        <v>4802</v>
      </c>
      <c r="I53" s="1">
        <v>41162</v>
      </c>
      <c r="J53" t="s">
        <v>1060</v>
      </c>
      <c r="K53" t="s">
        <v>1059</v>
      </c>
      <c r="L53" t="s">
        <v>1057</v>
      </c>
      <c r="M53" t="s">
        <v>1351</v>
      </c>
      <c r="N53" t="s">
        <v>20</v>
      </c>
      <c r="O53" t="s">
        <v>1350</v>
      </c>
      <c r="P53" t="s">
        <v>1349</v>
      </c>
      <c r="Q53" t="s">
        <v>1348</v>
      </c>
      <c r="R53" t="s">
        <v>1347</v>
      </c>
      <c r="S53" t="s">
        <v>1346</v>
      </c>
      <c r="T53" t="s">
        <v>1345</v>
      </c>
      <c r="U53" t="s">
        <v>1344</v>
      </c>
      <c r="V53" t="s">
        <v>1343</v>
      </c>
      <c r="W53" t="s">
        <v>1342</v>
      </c>
    </row>
    <row r="54" spans="1:23" x14ac:dyDescent="0.55000000000000004">
      <c r="A54">
        <v>202</v>
      </c>
      <c r="B54" t="s">
        <v>1066</v>
      </c>
      <c r="C54" t="s">
        <v>1062</v>
      </c>
      <c r="D54">
        <v>200</v>
      </c>
      <c r="E54" t="s">
        <v>1469</v>
      </c>
      <c r="F54" s="1">
        <v>41162</v>
      </c>
      <c r="G54">
        <v>6067</v>
      </c>
      <c r="H54">
        <v>4253</v>
      </c>
      <c r="I54" s="1">
        <v>41162</v>
      </c>
      <c r="J54" t="s">
        <v>1068</v>
      </c>
      <c r="K54" t="s">
        <v>1067</v>
      </c>
      <c r="L54" t="s">
        <v>1065</v>
      </c>
      <c r="M54" t="s">
        <v>1351</v>
      </c>
      <c r="N54" t="s">
        <v>20</v>
      </c>
      <c r="O54" t="s">
        <v>1350</v>
      </c>
      <c r="P54" t="s">
        <v>1349</v>
      </c>
      <c r="Q54" t="s">
        <v>1348</v>
      </c>
      <c r="R54" t="s">
        <v>1347</v>
      </c>
      <c r="S54" t="s">
        <v>1346</v>
      </c>
      <c r="T54" t="s">
        <v>1345</v>
      </c>
      <c r="U54" t="s">
        <v>1344</v>
      </c>
      <c r="V54" t="s">
        <v>1343</v>
      </c>
      <c r="W54" t="s">
        <v>1342</v>
      </c>
    </row>
    <row r="55" spans="1:23" x14ac:dyDescent="0.55000000000000004">
      <c r="A55">
        <v>202</v>
      </c>
      <c r="B55" t="s">
        <v>1074</v>
      </c>
      <c r="C55" t="s">
        <v>1070</v>
      </c>
      <c r="D55">
        <v>200</v>
      </c>
      <c r="E55" t="s">
        <v>1468</v>
      </c>
      <c r="F55" s="1">
        <v>41162</v>
      </c>
      <c r="G55">
        <v>6673</v>
      </c>
      <c r="H55">
        <v>4664</v>
      </c>
      <c r="I55" s="1">
        <v>41162</v>
      </c>
      <c r="J55" t="s">
        <v>1076</v>
      </c>
      <c r="K55" t="s">
        <v>1075</v>
      </c>
      <c r="L55" t="s">
        <v>1073</v>
      </c>
      <c r="M55" t="s">
        <v>1351</v>
      </c>
      <c r="N55" t="s">
        <v>20</v>
      </c>
      <c r="O55" t="s">
        <v>1350</v>
      </c>
      <c r="P55" t="s">
        <v>1349</v>
      </c>
      <c r="Q55" t="s">
        <v>1348</v>
      </c>
      <c r="R55" t="s">
        <v>1347</v>
      </c>
      <c r="S55" t="s">
        <v>1346</v>
      </c>
      <c r="T55" t="s">
        <v>1345</v>
      </c>
      <c r="U55" t="s">
        <v>1344</v>
      </c>
      <c r="V55" t="s">
        <v>1343</v>
      </c>
      <c r="W55" t="s">
        <v>1342</v>
      </c>
    </row>
    <row r="56" spans="1:23" x14ac:dyDescent="0.55000000000000004">
      <c r="A56">
        <v>202</v>
      </c>
      <c r="B56" t="s">
        <v>1082</v>
      </c>
      <c r="C56" t="s">
        <v>1078</v>
      </c>
      <c r="D56">
        <v>200</v>
      </c>
      <c r="E56" t="s">
        <v>1467</v>
      </c>
      <c r="F56" s="1">
        <v>41162</v>
      </c>
      <c r="G56">
        <v>6009</v>
      </c>
      <c r="H56">
        <v>4195</v>
      </c>
      <c r="I56" s="1">
        <v>41162</v>
      </c>
      <c r="J56" t="s">
        <v>1084</v>
      </c>
      <c r="K56" t="s">
        <v>1083</v>
      </c>
      <c r="L56" t="s">
        <v>1081</v>
      </c>
      <c r="M56" t="s">
        <v>1351</v>
      </c>
      <c r="N56" t="s">
        <v>20</v>
      </c>
      <c r="O56" t="s">
        <v>1350</v>
      </c>
      <c r="P56" t="s">
        <v>1349</v>
      </c>
      <c r="Q56" t="s">
        <v>1348</v>
      </c>
      <c r="R56" t="s">
        <v>1347</v>
      </c>
      <c r="S56" t="s">
        <v>1346</v>
      </c>
      <c r="T56" t="s">
        <v>1345</v>
      </c>
      <c r="U56" t="s">
        <v>1344</v>
      </c>
      <c r="V56" t="s">
        <v>1343</v>
      </c>
      <c r="W56" t="s">
        <v>1342</v>
      </c>
    </row>
    <row r="57" spans="1:23" x14ac:dyDescent="0.55000000000000004">
      <c r="A57">
        <v>202</v>
      </c>
      <c r="B57" t="s">
        <v>1090</v>
      </c>
      <c r="C57" t="s">
        <v>1086</v>
      </c>
      <c r="D57">
        <v>200</v>
      </c>
      <c r="E57" t="s">
        <v>1466</v>
      </c>
      <c r="F57" s="1">
        <v>41162</v>
      </c>
      <c r="G57">
        <v>7068</v>
      </c>
      <c r="H57">
        <v>4934</v>
      </c>
      <c r="I57" s="1">
        <v>41162</v>
      </c>
      <c r="J57" t="s">
        <v>1092</v>
      </c>
      <c r="K57" t="s">
        <v>1091</v>
      </c>
      <c r="L57" t="s">
        <v>1089</v>
      </c>
      <c r="M57" t="s">
        <v>1351</v>
      </c>
      <c r="N57" t="s">
        <v>20</v>
      </c>
      <c r="O57" t="s">
        <v>1350</v>
      </c>
      <c r="P57" t="s">
        <v>1349</v>
      </c>
      <c r="Q57" t="s">
        <v>1348</v>
      </c>
      <c r="R57" t="s">
        <v>1347</v>
      </c>
      <c r="S57" t="s">
        <v>1346</v>
      </c>
      <c r="T57" t="s">
        <v>1345</v>
      </c>
      <c r="U57" t="s">
        <v>1344</v>
      </c>
      <c r="V57" t="s">
        <v>1343</v>
      </c>
      <c r="W57" t="s">
        <v>1342</v>
      </c>
    </row>
    <row r="58" spans="1:23" x14ac:dyDescent="0.55000000000000004">
      <c r="A58">
        <v>202</v>
      </c>
      <c r="B58" t="s">
        <v>1098</v>
      </c>
      <c r="C58" t="s">
        <v>1094</v>
      </c>
      <c r="D58">
        <v>200</v>
      </c>
      <c r="E58" t="s">
        <v>1465</v>
      </c>
      <c r="F58" s="1">
        <v>41162</v>
      </c>
      <c r="G58">
        <v>6717</v>
      </c>
      <c r="H58">
        <v>4663</v>
      </c>
      <c r="I58" s="1">
        <v>41162</v>
      </c>
      <c r="J58" t="s">
        <v>1100</v>
      </c>
      <c r="K58" t="s">
        <v>1099</v>
      </c>
      <c r="L58" t="s">
        <v>1097</v>
      </c>
      <c r="M58" t="s">
        <v>1351</v>
      </c>
      <c r="N58" t="s">
        <v>20</v>
      </c>
      <c r="O58" t="s">
        <v>1350</v>
      </c>
      <c r="P58" t="s">
        <v>1349</v>
      </c>
      <c r="Q58" t="s">
        <v>1348</v>
      </c>
      <c r="R58" t="s">
        <v>1347</v>
      </c>
      <c r="S58" t="s">
        <v>1346</v>
      </c>
      <c r="T58" t="s">
        <v>1345</v>
      </c>
      <c r="U58" t="s">
        <v>1344</v>
      </c>
      <c r="V58" t="s">
        <v>1343</v>
      </c>
      <c r="W58" t="s">
        <v>1342</v>
      </c>
    </row>
    <row r="59" spans="1:23" x14ac:dyDescent="0.55000000000000004">
      <c r="A59">
        <v>202</v>
      </c>
      <c r="B59" t="s">
        <v>1106</v>
      </c>
      <c r="C59" t="s">
        <v>1102</v>
      </c>
      <c r="D59">
        <v>200</v>
      </c>
      <c r="E59" t="s">
        <v>1464</v>
      </c>
      <c r="F59" s="1">
        <v>41162</v>
      </c>
      <c r="G59">
        <v>6763</v>
      </c>
      <c r="H59">
        <v>4735</v>
      </c>
      <c r="I59" s="1">
        <v>41162</v>
      </c>
      <c r="J59" t="s">
        <v>1108</v>
      </c>
      <c r="K59" t="s">
        <v>1107</v>
      </c>
      <c r="L59" t="s">
        <v>1105</v>
      </c>
      <c r="M59" t="s">
        <v>1351</v>
      </c>
      <c r="N59" t="s">
        <v>20</v>
      </c>
      <c r="O59" t="s">
        <v>1350</v>
      </c>
      <c r="P59" t="s">
        <v>1349</v>
      </c>
      <c r="Q59" t="s">
        <v>1348</v>
      </c>
      <c r="R59" t="s">
        <v>1347</v>
      </c>
      <c r="S59" t="s">
        <v>1346</v>
      </c>
      <c r="T59" t="s">
        <v>1345</v>
      </c>
      <c r="U59" t="s">
        <v>1344</v>
      </c>
      <c r="V59" t="s">
        <v>1343</v>
      </c>
      <c r="W59" t="s">
        <v>1342</v>
      </c>
    </row>
    <row r="60" spans="1:23" x14ac:dyDescent="0.55000000000000004">
      <c r="A60">
        <v>202</v>
      </c>
      <c r="B60" t="s">
        <v>1114</v>
      </c>
      <c r="C60" t="s">
        <v>1110</v>
      </c>
      <c r="D60">
        <v>200</v>
      </c>
      <c r="E60" t="s">
        <v>1463</v>
      </c>
      <c r="F60" s="1">
        <v>41162</v>
      </c>
      <c r="G60">
        <v>6948</v>
      </c>
      <c r="H60">
        <v>4873</v>
      </c>
      <c r="I60" s="1">
        <v>41162</v>
      </c>
      <c r="J60" t="s">
        <v>1116</v>
      </c>
      <c r="K60" t="s">
        <v>1115</v>
      </c>
      <c r="L60" t="s">
        <v>1113</v>
      </c>
      <c r="M60" t="s">
        <v>1351</v>
      </c>
      <c r="N60" t="s">
        <v>20</v>
      </c>
      <c r="O60" t="s">
        <v>1350</v>
      </c>
      <c r="P60" t="s">
        <v>1349</v>
      </c>
      <c r="Q60" t="s">
        <v>1348</v>
      </c>
      <c r="R60" t="s">
        <v>1347</v>
      </c>
      <c r="S60" t="s">
        <v>1346</v>
      </c>
      <c r="T60" t="s">
        <v>1345</v>
      </c>
      <c r="U60" t="s">
        <v>1344</v>
      </c>
      <c r="V60" t="s">
        <v>1343</v>
      </c>
      <c r="W60" t="s">
        <v>1342</v>
      </c>
    </row>
    <row r="61" spans="1:23" x14ac:dyDescent="0.55000000000000004">
      <c r="A61">
        <v>202</v>
      </c>
      <c r="B61" t="s">
        <v>1122</v>
      </c>
      <c r="C61" t="s">
        <v>1118</v>
      </c>
      <c r="D61">
        <v>200</v>
      </c>
      <c r="E61" t="s">
        <v>1462</v>
      </c>
      <c r="F61" s="1">
        <v>41162</v>
      </c>
      <c r="G61">
        <v>7202</v>
      </c>
      <c r="H61">
        <v>5028</v>
      </c>
      <c r="I61" s="1">
        <v>41162</v>
      </c>
      <c r="J61" t="s">
        <v>1124</v>
      </c>
      <c r="K61" t="s">
        <v>1123</v>
      </c>
      <c r="L61" t="s">
        <v>1121</v>
      </c>
      <c r="M61" t="s">
        <v>1351</v>
      </c>
      <c r="N61" t="s">
        <v>20</v>
      </c>
      <c r="O61" t="s">
        <v>1350</v>
      </c>
      <c r="P61" t="s">
        <v>1349</v>
      </c>
      <c r="Q61" t="s">
        <v>1348</v>
      </c>
      <c r="R61" t="s">
        <v>1347</v>
      </c>
      <c r="S61" t="s">
        <v>1346</v>
      </c>
      <c r="T61" t="s">
        <v>1345</v>
      </c>
      <c r="U61" t="s">
        <v>1344</v>
      </c>
      <c r="V61" t="s">
        <v>1343</v>
      </c>
      <c r="W61" t="s">
        <v>1342</v>
      </c>
    </row>
    <row r="62" spans="1:23" x14ac:dyDescent="0.55000000000000004">
      <c r="A62">
        <v>202</v>
      </c>
      <c r="B62" t="s">
        <v>1130</v>
      </c>
      <c r="C62" t="s">
        <v>1126</v>
      </c>
      <c r="D62">
        <v>200</v>
      </c>
      <c r="E62" t="s">
        <v>1461</v>
      </c>
      <c r="F62" s="1">
        <v>41162</v>
      </c>
      <c r="G62">
        <v>6538</v>
      </c>
      <c r="H62">
        <v>4553</v>
      </c>
      <c r="I62" s="1">
        <v>41162</v>
      </c>
      <c r="J62" t="s">
        <v>1132</v>
      </c>
      <c r="K62" t="s">
        <v>1131</v>
      </c>
      <c r="L62" t="s">
        <v>1129</v>
      </c>
      <c r="M62" t="s">
        <v>1351</v>
      </c>
      <c r="N62" t="s">
        <v>20</v>
      </c>
      <c r="O62" t="s">
        <v>1350</v>
      </c>
      <c r="P62" t="s">
        <v>1349</v>
      </c>
      <c r="Q62" t="s">
        <v>1348</v>
      </c>
      <c r="R62" t="s">
        <v>1347</v>
      </c>
      <c r="S62" t="s">
        <v>1346</v>
      </c>
      <c r="T62" t="s">
        <v>1345</v>
      </c>
      <c r="U62" t="s">
        <v>1344</v>
      </c>
      <c r="V62" t="s">
        <v>1343</v>
      </c>
      <c r="W62" t="s">
        <v>1342</v>
      </c>
    </row>
    <row r="63" spans="1:23" x14ac:dyDescent="0.55000000000000004">
      <c r="A63">
        <v>202</v>
      </c>
      <c r="B63" t="s">
        <v>1138</v>
      </c>
      <c r="C63" t="s">
        <v>1134</v>
      </c>
      <c r="D63">
        <v>200</v>
      </c>
      <c r="E63" t="s">
        <v>1460</v>
      </c>
      <c r="F63" s="1">
        <v>41162</v>
      </c>
      <c r="G63">
        <v>5611</v>
      </c>
      <c r="H63">
        <v>3916</v>
      </c>
      <c r="I63" s="1">
        <v>41162</v>
      </c>
      <c r="J63" t="s">
        <v>1140</v>
      </c>
      <c r="K63" t="s">
        <v>1139</v>
      </c>
      <c r="L63" t="s">
        <v>1137</v>
      </c>
      <c r="M63" t="s">
        <v>1351</v>
      </c>
      <c r="N63" t="s">
        <v>20</v>
      </c>
      <c r="O63" t="s">
        <v>1350</v>
      </c>
      <c r="P63" t="s">
        <v>1349</v>
      </c>
      <c r="Q63" t="s">
        <v>1348</v>
      </c>
      <c r="R63" t="s">
        <v>1347</v>
      </c>
      <c r="S63" t="s">
        <v>1346</v>
      </c>
      <c r="T63" t="s">
        <v>1345</v>
      </c>
      <c r="U63" t="s">
        <v>1344</v>
      </c>
      <c r="V63" t="s">
        <v>1343</v>
      </c>
      <c r="W63" t="s">
        <v>1342</v>
      </c>
    </row>
    <row r="64" spans="1:23" x14ac:dyDescent="0.55000000000000004">
      <c r="A64">
        <v>202</v>
      </c>
      <c r="B64" t="s">
        <v>1146</v>
      </c>
      <c r="C64" t="s">
        <v>1142</v>
      </c>
      <c r="D64">
        <v>200</v>
      </c>
      <c r="E64" t="s">
        <v>1459</v>
      </c>
      <c r="F64" s="1">
        <v>41162</v>
      </c>
      <c r="G64">
        <v>7290</v>
      </c>
      <c r="H64">
        <v>4988</v>
      </c>
      <c r="I64" s="1">
        <v>41162</v>
      </c>
      <c r="J64" t="s">
        <v>1148</v>
      </c>
      <c r="K64" t="s">
        <v>1147</v>
      </c>
      <c r="L64" t="s">
        <v>1145</v>
      </c>
      <c r="M64" t="s">
        <v>1351</v>
      </c>
      <c r="N64" t="s">
        <v>20</v>
      </c>
      <c r="O64" t="s">
        <v>1350</v>
      </c>
      <c r="P64" t="s">
        <v>1349</v>
      </c>
      <c r="Q64" t="s">
        <v>1348</v>
      </c>
      <c r="R64" t="s">
        <v>1347</v>
      </c>
      <c r="S64" t="s">
        <v>1346</v>
      </c>
      <c r="T64" t="s">
        <v>1345</v>
      </c>
      <c r="U64" t="s">
        <v>1344</v>
      </c>
      <c r="V64" t="s">
        <v>1343</v>
      </c>
      <c r="W64" t="s">
        <v>1342</v>
      </c>
    </row>
    <row r="65" spans="1:23" x14ac:dyDescent="0.55000000000000004">
      <c r="A65">
        <v>202</v>
      </c>
      <c r="B65" t="s">
        <v>1154</v>
      </c>
      <c r="C65" t="s">
        <v>1150</v>
      </c>
      <c r="D65">
        <v>200</v>
      </c>
      <c r="E65" t="s">
        <v>1458</v>
      </c>
      <c r="F65" s="1">
        <v>41162</v>
      </c>
      <c r="G65">
        <v>6073</v>
      </c>
      <c r="H65">
        <v>4136</v>
      </c>
      <c r="I65" s="1">
        <v>41162</v>
      </c>
      <c r="J65" t="s">
        <v>1156</v>
      </c>
      <c r="K65" t="s">
        <v>1155</v>
      </c>
      <c r="L65" t="s">
        <v>1153</v>
      </c>
      <c r="M65" t="s">
        <v>1351</v>
      </c>
      <c r="N65" t="s">
        <v>20</v>
      </c>
      <c r="O65" t="s">
        <v>1350</v>
      </c>
      <c r="P65" t="s">
        <v>1349</v>
      </c>
      <c r="Q65" t="s">
        <v>1348</v>
      </c>
      <c r="R65" t="s">
        <v>1347</v>
      </c>
      <c r="S65" t="s">
        <v>1346</v>
      </c>
      <c r="T65" t="s">
        <v>1345</v>
      </c>
      <c r="U65" t="s">
        <v>1344</v>
      </c>
      <c r="V65" t="s">
        <v>1343</v>
      </c>
      <c r="W65" t="s">
        <v>1342</v>
      </c>
    </row>
    <row r="66" spans="1:23" x14ac:dyDescent="0.55000000000000004">
      <c r="A66">
        <v>202</v>
      </c>
      <c r="B66" t="s">
        <v>1162</v>
      </c>
      <c r="C66" t="s">
        <v>1158</v>
      </c>
      <c r="D66">
        <v>200</v>
      </c>
      <c r="E66" t="s">
        <v>1457</v>
      </c>
      <c r="F66" s="1">
        <v>41162</v>
      </c>
      <c r="G66">
        <v>6483</v>
      </c>
      <c r="H66">
        <v>4424</v>
      </c>
      <c r="I66" s="1">
        <v>41162</v>
      </c>
      <c r="J66" t="s">
        <v>1164</v>
      </c>
      <c r="K66" t="s">
        <v>1163</v>
      </c>
      <c r="L66" t="s">
        <v>1161</v>
      </c>
      <c r="M66" t="s">
        <v>1351</v>
      </c>
      <c r="N66" t="s">
        <v>20</v>
      </c>
      <c r="O66" t="s">
        <v>1350</v>
      </c>
      <c r="P66" t="s">
        <v>1349</v>
      </c>
      <c r="Q66" t="s">
        <v>1348</v>
      </c>
      <c r="R66" t="s">
        <v>1347</v>
      </c>
      <c r="S66" t="s">
        <v>1346</v>
      </c>
      <c r="T66" t="s">
        <v>1345</v>
      </c>
      <c r="U66" t="s">
        <v>1344</v>
      </c>
      <c r="V66" t="s">
        <v>1343</v>
      </c>
      <c r="W66" t="s">
        <v>1342</v>
      </c>
    </row>
    <row r="67" spans="1:23" x14ac:dyDescent="0.55000000000000004">
      <c r="A67">
        <v>202</v>
      </c>
      <c r="B67" t="s">
        <v>1170</v>
      </c>
      <c r="C67" t="s">
        <v>1166</v>
      </c>
      <c r="D67">
        <v>200</v>
      </c>
      <c r="E67" t="s">
        <v>1456</v>
      </c>
      <c r="F67" s="1">
        <v>41162</v>
      </c>
      <c r="G67">
        <v>7477</v>
      </c>
      <c r="H67">
        <v>5106</v>
      </c>
      <c r="I67" s="1">
        <v>41162</v>
      </c>
      <c r="J67" t="s">
        <v>1172</v>
      </c>
      <c r="K67" t="s">
        <v>1171</v>
      </c>
      <c r="L67" t="s">
        <v>1169</v>
      </c>
      <c r="M67" t="s">
        <v>1351</v>
      </c>
      <c r="N67" t="s">
        <v>20</v>
      </c>
      <c r="O67" t="s">
        <v>1350</v>
      </c>
      <c r="P67" t="s">
        <v>1349</v>
      </c>
      <c r="Q67" t="s">
        <v>1348</v>
      </c>
      <c r="R67" t="s">
        <v>1347</v>
      </c>
      <c r="S67" t="s">
        <v>1346</v>
      </c>
      <c r="T67" t="s">
        <v>1345</v>
      </c>
      <c r="U67" t="s">
        <v>1344</v>
      </c>
      <c r="V67" t="s">
        <v>1343</v>
      </c>
      <c r="W67" t="s">
        <v>1342</v>
      </c>
    </row>
    <row r="68" spans="1:23" x14ac:dyDescent="0.55000000000000004">
      <c r="A68">
        <v>202</v>
      </c>
      <c r="B68" t="s">
        <v>1178</v>
      </c>
      <c r="C68" t="s">
        <v>1174</v>
      </c>
      <c r="D68">
        <v>200</v>
      </c>
      <c r="E68" t="s">
        <v>1455</v>
      </c>
      <c r="F68" s="1">
        <v>41162</v>
      </c>
      <c r="G68">
        <v>7584</v>
      </c>
      <c r="H68">
        <v>5220</v>
      </c>
      <c r="I68" s="1">
        <v>41162</v>
      </c>
      <c r="J68" t="s">
        <v>1180</v>
      </c>
      <c r="K68" t="s">
        <v>1179</v>
      </c>
      <c r="L68" t="s">
        <v>1177</v>
      </c>
      <c r="M68" t="s">
        <v>1351</v>
      </c>
      <c r="N68" t="s">
        <v>20</v>
      </c>
      <c r="O68" t="s">
        <v>1350</v>
      </c>
      <c r="P68" t="s">
        <v>1349</v>
      </c>
      <c r="Q68" t="s">
        <v>1348</v>
      </c>
      <c r="R68" t="s">
        <v>1347</v>
      </c>
      <c r="S68" t="s">
        <v>1346</v>
      </c>
      <c r="T68" t="s">
        <v>1345</v>
      </c>
      <c r="U68" t="s">
        <v>1344</v>
      </c>
      <c r="V68" t="s">
        <v>1343</v>
      </c>
      <c r="W68" t="s">
        <v>1342</v>
      </c>
    </row>
    <row r="69" spans="1:23" x14ac:dyDescent="0.55000000000000004">
      <c r="A69">
        <v>202</v>
      </c>
      <c r="B69" t="s">
        <v>1186</v>
      </c>
      <c r="C69" t="s">
        <v>1182</v>
      </c>
      <c r="D69">
        <v>200</v>
      </c>
      <c r="E69" t="s">
        <v>1454</v>
      </c>
      <c r="F69" s="1">
        <v>41162</v>
      </c>
      <c r="G69">
        <v>5503</v>
      </c>
      <c r="H69">
        <v>3758</v>
      </c>
      <c r="I69" s="1">
        <v>41162</v>
      </c>
      <c r="J69" t="s">
        <v>1188</v>
      </c>
      <c r="K69" t="s">
        <v>1187</v>
      </c>
      <c r="L69" t="s">
        <v>1185</v>
      </c>
      <c r="M69" t="s">
        <v>1351</v>
      </c>
      <c r="N69" t="s">
        <v>20</v>
      </c>
      <c r="O69" t="s">
        <v>1350</v>
      </c>
      <c r="P69" t="s">
        <v>1349</v>
      </c>
      <c r="Q69" t="s">
        <v>1348</v>
      </c>
      <c r="R69" t="s">
        <v>1347</v>
      </c>
      <c r="S69" t="s">
        <v>1346</v>
      </c>
      <c r="T69" t="s">
        <v>1345</v>
      </c>
      <c r="U69" t="s">
        <v>1344</v>
      </c>
      <c r="V69" t="s">
        <v>1343</v>
      </c>
      <c r="W69" t="s">
        <v>1342</v>
      </c>
    </row>
    <row r="70" spans="1:23" x14ac:dyDescent="0.55000000000000004">
      <c r="A70">
        <v>202</v>
      </c>
      <c r="B70" t="s">
        <v>1194</v>
      </c>
      <c r="C70" t="s">
        <v>1190</v>
      </c>
      <c r="D70">
        <v>200</v>
      </c>
      <c r="E70" t="s">
        <v>1453</v>
      </c>
      <c r="F70" s="1">
        <v>41162</v>
      </c>
      <c r="G70">
        <v>6358</v>
      </c>
      <c r="H70">
        <v>4304</v>
      </c>
      <c r="I70" s="1">
        <v>41162</v>
      </c>
      <c r="J70" t="s">
        <v>1196</v>
      </c>
      <c r="K70" t="s">
        <v>1195</v>
      </c>
      <c r="L70" t="s">
        <v>1193</v>
      </c>
      <c r="M70" t="s">
        <v>1351</v>
      </c>
      <c r="N70" t="s">
        <v>20</v>
      </c>
      <c r="O70" t="s">
        <v>1350</v>
      </c>
      <c r="P70" t="s">
        <v>1349</v>
      </c>
      <c r="Q70" t="s">
        <v>1348</v>
      </c>
      <c r="R70" t="s">
        <v>1347</v>
      </c>
      <c r="S70" t="s">
        <v>1346</v>
      </c>
      <c r="T70" t="s">
        <v>1345</v>
      </c>
      <c r="U70" t="s">
        <v>1344</v>
      </c>
      <c r="V70" t="s">
        <v>1343</v>
      </c>
      <c r="W70" t="s">
        <v>1342</v>
      </c>
    </row>
    <row r="71" spans="1:23" x14ac:dyDescent="0.55000000000000004">
      <c r="A71">
        <v>202</v>
      </c>
      <c r="B71" t="s">
        <v>1202</v>
      </c>
      <c r="C71" t="s">
        <v>1198</v>
      </c>
      <c r="D71">
        <v>200</v>
      </c>
      <c r="E71" t="s">
        <v>1452</v>
      </c>
      <c r="F71" s="1">
        <v>41162</v>
      </c>
      <c r="G71">
        <v>6716</v>
      </c>
      <c r="H71">
        <v>4559</v>
      </c>
      <c r="I71" s="1">
        <v>41162</v>
      </c>
      <c r="J71" t="s">
        <v>1204</v>
      </c>
      <c r="K71" t="s">
        <v>1203</v>
      </c>
      <c r="L71" t="s">
        <v>1201</v>
      </c>
      <c r="M71" t="s">
        <v>1351</v>
      </c>
      <c r="N71" t="s">
        <v>20</v>
      </c>
      <c r="O71" t="s">
        <v>1350</v>
      </c>
      <c r="P71" t="s">
        <v>1349</v>
      </c>
      <c r="Q71" t="s">
        <v>1348</v>
      </c>
      <c r="R71" t="s">
        <v>1347</v>
      </c>
      <c r="S71" t="s">
        <v>1346</v>
      </c>
      <c r="T71" t="s">
        <v>1345</v>
      </c>
      <c r="U71" t="s">
        <v>1344</v>
      </c>
      <c r="V71" t="s">
        <v>1343</v>
      </c>
      <c r="W71" t="s">
        <v>1342</v>
      </c>
    </row>
    <row r="72" spans="1:23" x14ac:dyDescent="0.55000000000000004">
      <c r="A72">
        <v>202</v>
      </c>
      <c r="B72" t="s">
        <v>1210</v>
      </c>
      <c r="C72" t="s">
        <v>1206</v>
      </c>
      <c r="D72">
        <v>200</v>
      </c>
      <c r="E72" t="s">
        <v>1451</v>
      </c>
      <c r="F72" s="1">
        <v>41162</v>
      </c>
      <c r="G72">
        <v>7509</v>
      </c>
      <c r="H72">
        <v>5092</v>
      </c>
      <c r="I72" s="1">
        <v>41162</v>
      </c>
      <c r="J72" t="s">
        <v>1212</v>
      </c>
      <c r="K72" t="s">
        <v>1211</v>
      </c>
      <c r="L72" t="s">
        <v>1209</v>
      </c>
      <c r="M72" t="s">
        <v>1351</v>
      </c>
      <c r="N72" t="s">
        <v>20</v>
      </c>
      <c r="O72" t="s">
        <v>1350</v>
      </c>
      <c r="P72" t="s">
        <v>1349</v>
      </c>
      <c r="Q72" t="s">
        <v>1348</v>
      </c>
      <c r="R72" t="s">
        <v>1347</v>
      </c>
      <c r="S72" t="s">
        <v>1346</v>
      </c>
      <c r="T72" t="s">
        <v>1345</v>
      </c>
      <c r="U72" t="s">
        <v>1344</v>
      </c>
      <c r="V72" t="s">
        <v>1343</v>
      </c>
      <c r="W72" t="s">
        <v>1342</v>
      </c>
    </row>
    <row r="73" spans="1:23" x14ac:dyDescent="0.55000000000000004">
      <c r="A73">
        <v>202</v>
      </c>
      <c r="B73" t="s">
        <v>1218</v>
      </c>
      <c r="C73" t="s">
        <v>1214</v>
      </c>
      <c r="D73">
        <v>200</v>
      </c>
      <c r="E73" t="s">
        <v>1450</v>
      </c>
      <c r="F73" s="1">
        <v>41162</v>
      </c>
      <c r="G73">
        <v>6796</v>
      </c>
      <c r="H73">
        <v>4601</v>
      </c>
      <c r="I73" s="1">
        <v>41162</v>
      </c>
      <c r="J73" t="s">
        <v>1220</v>
      </c>
      <c r="K73" t="s">
        <v>1219</v>
      </c>
      <c r="L73" t="s">
        <v>1217</v>
      </c>
      <c r="M73" t="s">
        <v>1351</v>
      </c>
      <c r="N73" t="s">
        <v>20</v>
      </c>
      <c r="O73" t="s">
        <v>1350</v>
      </c>
      <c r="P73" t="s">
        <v>1349</v>
      </c>
      <c r="Q73" t="s">
        <v>1348</v>
      </c>
      <c r="R73" t="s">
        <v>1347</v>
      </c>
      <c r="S73" t="s">
        <v>1346</v>
      </c>
      <c r="T73" t="s">
        <v>1345</v>
      </c>
      <c r="U73" t="s">
        <v>1344</v>
      </c>
      <c r="V73" t="s">
        <v>1343</v>
      </c>
      <c r="W73" t="s">
        <v>1342</v>
      </c>
    </row>
    <row r="74" spans="1:23" x14ac:dyDescent="0.55000000000000004">
      <c r="A74">
        <v>202</v>
      </c>
      <c r="B74" t="s">
        <v>1226</v>
      </c>
      <c r="C74" t="s">
        <v>1222</v>
      </c>
      <c r="D74">
        <v>200</v>
      </c>
      <c r="E74" t="s">
        <v>1449</v>
      </c>
      <c r="F74" s="1">
        <v>41162</v>
      </c>
      <c r="G74">
        <v>3327</v>
      </c>
      <c r="H74">
        <v>2231</v>
      </c>
      <c r="I74" s="1">
        <v>41162</v>
      </c>
      <c r="J74" t="s">
        <v>1228</v>
      </c>
      <c r="K74" t="s">
        <v>1227</v>
      </c>
      <c r="L74" t="s">
        <v>1225</v>
      </c>
      <c r="M74" t="s">
        <v>1351</v>
      </c>
      <c r="N74" t="s">
        <v>20</v>
      </c>
      <c r="O74" t="s">
        <v>1350</v>
      </c>
      <c r="P74" t="s">
        <v>1349</v>
      </c>
      <c r="Q74" t="s">
        <v>1348</v>
      </c>
      <c r="R74" t="s">
        <v>1347</v>
      </c>
      <c r="S74" t="s">
        <v>1346</v>
      </c>
      <c r="T74" t="s">
        <v>1345</v>
      </c>
      <c r="U74" t="s">
        <v>1344</v>
      </c>
      <c r="V74" t="s">
        <v>1343</v>
      </c>
      <c r="W74" t="s">
        <v>1342</v>
      </c>
    </row>
    <row r="75" spans="1:23" x14ac:dyDescent="0.55000000000000004">
      <c r="A75">
        <v>202</v>
      </c>
      <c r="B75" t="s">
        <v>1234</v>
      </c>
      <c r="C75" t="s">
        <v>1230</v>
      </c>
      <c r="D75">
        <v>200</v>
      </c>
      <c r="E75" t="s">
        <v>1448</v>
      </c>
      <c r="F75" s="1">
        <v>41162</v>
      </c>
      <c r="G75">
        <v>7474</v>
      </c>
      <c r="H75">
        <v>5054</v>
      </c>
      <c r="I75" s="1">
        <v>41162</v>
      </c>
      <c r="J75" t="s">
        <v>1236</v>
      </c>
      <c r="K75" t="s">
        <v>1235</v>
      </c>
      <c r="L75" t="s">
        <v>1233</v>
      </c>
      <c r="M75" t="s">
        <v>1351</v>
      </c>
      <c r="N75" t="s">
        <v>20</v>
      </c>
      <c r="O75" t="s">
        <v>1350</v>
      </c>
      <c r="P75" t="s">
        <v>1349</v>
      </c>
      <c r="Q75" t="s">
        <v>1348</v>
      </c>
      <c r="R75" t="s">
        <v>1347</v>
      </c>
      <c r="S75" t="s">
        <v>1346</v>
      </c>
      <c r="T75" t="s">
        <v>1345</v>
      </c>
      <c r="U75" t="s">
        <v>1344</v>
      </c>
      <c r="V75" t="s">
        <v>1343</v>
      </c>
      <c r="W75" t="s">
        <v>1342</v>
      </c>
    </row>
    <row r="76" spans="1:23" x14ac:dyDescent="0.55000000000000004">
      <c r="A76">
        <v>202</v>
      </c>
      <c r="B76" t="s">
        <v>1242</v>
      </c>
      <c r="C76" t="s">
        <v>1238</v>
      </c>
      <c r="D76">
        <v>200</v>
      </c>
      <c r="E76" t="s">
        <v>1447</v>
      </c>
      <c r="F76" s="1">
        <v>41162</v>
      </c>
      <c r="G76">
        <v>5410</v>
      </c>
      <c r="H76">
        <v>3831</v>
      </c>
      <c r="I76" s="1">
        <v>41162</v>
      </c>
      <c r="J76" t="s">
        <v>1244</v>
      </c>
      <c r="K76" t="s">
        <v>1243</v>
      </c>
      <c r="L76" t="s">
        <v>1241</v>
      </c>
      <c r="M76" t="s">
        <v>1351</v>
      </c>
      <c r="N76" t="s">
        <v>20</v>
      </c>
      <c r="O76" t="s">
        <v>1350</v>
      </c>
      <c r="P76" t="s">
        <v>1349</v>
      </c>
      <c r="Q76" t="s">
        <v>1348</v>
      </c>
      <c r="R76" t="s">
        <v>1347</v>
      </c>
      <c r="S76" t="s">
        <v>1346</v>
      </c>
      <c r="T76" t="s">
        <v>1345</v>
      </c>
      <c r="U76" t="s">
        <v>1344</v>
      </c>
      <c r="V76" t="s">
        <v>1343</v>
      </c>
      <c r="W76" t="s">
        <v>1342</v>
      </c>
    </row>
    <row r="77" spans="1:23" x14ac:dyDescent="0.55000000000000004">
      <c r="A77">
        <v>202</v>
      </c>
      <c r="B77" t="s">
        <v>1250</v>
      </c>
      <c r="C77" t="s">
        <v>1246</v>
      </c>
      <c r="D77">
        <v>200</v>
      </c>
      <c r="E77" t="s">
        <v>1446</v>
      </c>
      <c r="F77" s="1">
        <v>41162</v>
      </c>
      <c r="G77">
        <v>6795</v>
      </c>
      <c r="H77">
        <v>4816</v>
      </c>
      <c r="I77" s="1">
        <v>41162</v>
      </c>
      <c r="J77" t="s">
        <v>1252</v>
      </c>
      <c r="K77" t="s">
        <v>1251</v>
      </c>
      <c r="L77" t="s">
        <v>1249</v>
      </c>
      <c r="M77" t="s">
        <v>1351</v>
      </c>
      <c r="N77" t="s">
        <v>20</v>
      </c>
      <c r="O77" t="s">
        <v>1350</v>
      </c>
      <c r="P77" t="s">
        <v>1349</v>
      </c>
      <c r="Q77" t="s">
        <v>1348</v>
      </c>
      <c r="R77" t="s">
        <v>1347</v>
      </c>
      <c r="S77" t="s">
        <v>1346</v>
      </c>
      <c r="T77" t="s">
        <v>1345</v>
      </c>
      <c r="U77" t="s">
        <v>1344</v>
      </c>
      <c r="V77" t="s">
        <v>1343</v>
      </c>
      <c r="W77" t="s">
        <v>1342</v>
      </c>
    </row>
    <row r="78" spans="1:23" x14ac:dyDescent="0.55000000000000004">
      <c r="A78">
        <v>202</v>
      </c>
      <c r="B78" t="s">
        <v>1258</v>
      </c>
      <c r="C78" t="s">
        <v>1254</v>
      </c>
      <c r="D78">
        <v>200</v>
      </c>
      <c r="E78" t="s">
        <v>1445</v>
      </c>
      <c r="F78" s="1">
        <v>41162</v>
      </c>
      <c r="G78">
        <v>10024</v>
      </c>
      <c r="H78">
        <v>7079</v>
      </c>
      <c r="I78" s="1">
        <v>41162</v>
      </c>
      <c r="J78" t="s">
        <v>1260</v>
      </c>
      <c r="K78" t="s">
        <v>1259</v>
      </c>
      <c r="L78" t="s">
        <v>1257</v>
      </c>
      <c r="M78" t="s">
        <v>1351</v>
      </c>
      <c r="N78" t="s">
        <v>20</v>
      </c>
      <c r="O78" t="s">
        <v>1350</v>
      </c>
      <c r="P78" t="s">
        <v>1349</v>
      </c>
      <c r="Q78" t="s">
        <v>1348</v>
      </c>
      <c r="R78" t="s">
        <v>1347</v>
      </c>
      <c r="S78" t="s">
        <v>1346</v>
      </c>
      <c r="T78" t="s">
        <v>1345</v>
      </c>
      <c r="U78" t="s">
        <v>1344</v>
      </c>
      <c r="V78" t="s">
        <v>1343</v>
      </c>
      <c r="W78" t="s">
        <v>1342</v>
      </c>
    </row>
    <row r="79" spans="1:23" x14ac:dyDescent="0.55000000000000004">
      <c r="A79">
        <v>202</v>
      </c>
      <c r="B79" t="s">
        <v>1266</v>
      </c>
      <c r="C79" t="s">
        <v>1262</v>
      </c>
      <c r="D79">
        <v>200</v>
      </c>
      <c r="E79" t="s">
        <v>1444</v>
      </c>
      <c r="F79" s="1">
        <v>41162</v>
      </c>
      <c r="G79">
        <v>9200</v>
      </c>
      <c r="H79">
        <v>6485</v>
      </c>
      <c r="I79" s="1">
        <v>41162</v>
      </c>
      <c r="J79" t="s">
        <v>1268</v>
      </c>
      <c r="K79" t="s">
        <v>1267</v>
      </c>
      <c r="L79" t="s">
        <v>1265</v>
      </c>
      <c r="M79" t="s">
        <v>1351</v>
      </c>
      <c r="N79" t="s">
        <v>20</v>
      </c>
      <c r="O79" t="s">
        <v>1350</v>
      </c>
      <c r="P79" t="s">
        <v>1349</v>
      </c>
      <c r="Q79" t="s">
        <v>1348</v>
      </c>
      <c r="R79" t="s">
        <v>1347</v>
      </c>
      <c r="S79" t="s">
        <v>1346</v>
      </c>
      <c r="T79" t="s">
        <v>1345</v>
      </c>
      <c r="U79" t="s">
        <v>1344</v>
      </c>
      <c r="V79" t="s">
        <v>1343</v>
      </c>
      <c r="W79" t="s">
        <v>1342</v>
      </c>
    </row>
    <row r="80" spans="1:23" x14ac:dyDescent="0.55000000000000004">
      <c r="A80">
        <v>202</v>
      </c>
      <c r="B80" t="s">
        <v>1274</v>
      </c>
      <c r="C80" t="s">
        <v>1270</v>
      </c>
      <c r="D80">
        <v>200</v>
      </c>
      <c r="E80" t="s">
        <v>1443</v>
      </c>
      <c r="F80" s="1">
        <v>41162</v>
      </c>
      <c r="G80">
        <v>9026</v>
      </c>
      <c r="H80">
        <v>6371</v>
      </c>
      <c r="I80" s="1">
        <v>41162</v>
      </c>
      <c r="J80" t="s">
        <v>1276</v>
      </c>
      <c r="K80" t="s">
        <v>1275</v>
      </c>
      <c r="L80" t="s">
        <v>1273</v>
      </c>
      <c r="M80" t="s">
        <v>1351</v>
      </c>
      <c r="N80" t="s">
        <v>20</v>
      </c>
      <c r="O80" t="s">
        <v>1350</v>
      </c>
      <c r="P80" t="s">
        <v>1349</v>
      </c>
      <c r="Q80" t="s">
        <v>1348</v>
      </c>
      <c r="R80" t="s">
        <v>1347</v>
      </c>
      <c r="S80" t="s">
        <v>1346</v>
      </c>
      <c r="T80" t="s">
        <v>1345</v>
      </c>
      <c r="U80" t="s">
        <v>1344</v>
      </c>
      <c r="V80" t="s">
        <v>1343</v>
      </c>
      <c r="W80" t="s">
        <v>1342</v>
      </c>
    </row>
    <row r="81" spans="1:23" x14ac:dyDescent="0.55000000000000004">
      <c r="A81">
        <v>202</v>
      </c>
      <c r="B81" t="s">
        <v>1282</v>
      </c>
      <c r="C81" t="s">
        <v>1278</v>
      </c>
      <c r="D81">
        <v>200</v>
      </c>
      <c r="E81" t="s">
        <v>1442</v>
      </c>
      <c r="F81" s="1">
        <v>41162</v>
      </c>
      <c r="G81">
        <v>9715</v>
      </c>
      <c r="H81">
        <v>6881</v>
      </c>
      <c r="I81" s="1">
        <v>41162</v>
      </c>
      <c r="J81" t="s">
        <v>1284</v>
      </c>
      <c r="K81" t="s">
        <v>1283</v>
      </c>
      <c r="L81" t="s">
        <v>1281</v>
      </c>
      <c r="M81" t="s">
        <v>1351</v>
      </c>
      <c r="N81" t="s">
        <v>20</v>
      </c>
      <c r="O81" t="s">
        <v>1350</v>
      </c>
      <c r="P81" t="s">
        <v>1349</v>
      </c>
      <c r="Q81" t="s">
        <v>1348</v>
      </c>
      <c r="R81" t="s">
        <v>1347</v>
      </c>
      <c r="S81" t="s">
        <v>1346</v>
      </c>
      <c r="T81" t="s">
        <v>1345</v>
      </c>
      <c r="U81" t="s">
        <v>1344</v>
      </c>
      <c r="V81" t="s">
        <v>1343</v>
      </c>
      <c r="W81" t="s">
        <v>1342</v>
      </c>
    </row>
    <row r="82" spans="1:23" x14ac:dyDescent="0.55000000000000004">
      <c r="A82">
        <v>202</v>
      </c>
      <c r="B82" t="s">
        <v>1290</v>
      </c>
      <c r="C82" t="s">
        <v>1286</v>
      </c>
      <c r="D82">
        <v>200</v>
      </c>
      <c r="E82" t="s">
        <v>1441</v>
      </c>
      <c r="F82" s="1">
        <v>41162</v>
      </c>
      <c r="G82">
        <v>8475</v>
      </c>
      <c r="H82">
        <v>6013</v>
      </c>
      <c r="I82" s="1">
        <v>41162</v>
      </c>
      <c r="J82" t="s">
        <v>1292</v>
      </c>
      <c r="K82" t="s">
        <v>1291</v>
      </c>
      <c r="L82" t="s">
        <v>1289</v>
      </c>
      <c r="M82" t="s">
        <v>1351</v>
      </c>
      <c r="N82" t="s">
        <v>20</v>
      </c>
      <c r="O82" t="s">
        <v>1350</v>
      </c>
      <c r="P82" t="s">
        <v>1349</v>
      </c>
      <c r="Q82" t="s">
        <v>1348</v>
      </c>
      <c r="R82" t="s">
        <v>1347</v>
      </c>
      <c r="S82" t="s">
        <v>1346</v>
      </c>
      <c r="T82" t="s">
        <v>1345</v>
      </c>
      <c r="U82" t="s">
        <v>1344</v>
      </c>
      <c r="V82" t="s">
        <v>1343</v>
      </c>
      <c r="W82" t="s">
        <v>1342</v>
      </c>
    </row>
    <row r="83" spans="1:23" x14ac:dyDescent="0.55000000000000004">
      <c r="A83">
        <v>202</v>
      </c>
      <c r="B83" t="s">
        <v>1298</v>
      </c>
      <c r="C83" t="s">
        <v>1294</v>
      </c>
      <c r="D83">
        <v>200</v>
      </c>
      <c r="E83" t="s">
        <v>1440</v>
      </c>
      <c r="F83" s="1">
        <v>41162</v>
      </c>
      <c r="G83">
        <v>8769</v>
      </c>
      <c r="H83">
        <v>6221</v>
      </c>
      <c r="I83" s="1">
        <v>41162</v>
      </c>
      <c r="J83" t="s">
        <v>1300</v>
      </c>
      <c r="K83" t="s">
        <v>1299</v>
      </c>
      <c r="L83" t="s">
        <v>1297</v>
      </c>
      <c r="M83" t="s">
        <v>1351</v>
      </c>
      <c r="N83" t="s">
        <v>20</v>
      </c>
      <c r="O83" t="s">
        <v>1350</v>
      </c>
      <c r="P83" t="s">
        <v>1349</v>
      </c>
      <c r="Q83" t="s">
        <v>1348</v>
      </c>
      <c r="R83" t="s">
        <v>1347</v>
      </c>
      <c r="S83" t="s">
        <v>1346</v>
      </c>
      <c r="T83" t="s">
        <v>1345</v>
      </c>
      <c r="U83" t="s">
        <v>1344</v>
      </c>
      <c r="V83" t="s">
        <v>1343</v>
      </c>
      <c r="W83" t="s">
        <v>1342</v>
      </c>
    </row>
    <row r="84" spans="1:23" x14ac:dyDescent="0.55000000000000004">
      <c r="A84">
        <v>202</v>
      </c>
      <c r="B84" t="s">
        <v>1306</v>
      </c>
      <c r="C84" t="s">
        <v>1302</v>
      </c>
      <c r="D84">
        <v>200</v>
      </c>
      <c r="E84" t="s">
        <v>1439</v>
      </c>
      <c r="F84" s="1">
        <v>41162</v>
      </c>
      <c r="G84">
        <v>10137</v>
      </c>
      <c r="H84">
        <v>7170</v>
      </c>
      <c r="I84" s="1">
        <v>41162</v>
      </c>
      <c r="J84" t="s">
        <v>1308</v>
      </c>
      <c r="K84" t="s">
        <v>1307</v>
      </c>
      <c r="L84" t="s">
        <v>1305</v>
      </c>
      <c r="M84" t="s">
        <v>1351</v>
      </c>
      <c r="N84" t="s">
        <v>20</v>
      </c>
      <c r="O84" t="s">
        <v>1350</v>
      </c>
      <c r="P84" t="s">
        <v>1349</v>
      </c>
      <c r="Q84" t="s">
        <v>1348</v>
      </c>
      <c r="R84" t="s">
        <v>1347</v>
      </c>
      <c r="S84" t="s">
        <v>1346</v>
      </c>
      <c r="T84" t="s">
        <v>1345</v>
      </c>
      <c r="U84" t="s">
        <v>1344</v>
      </c>
      <c r="V84" t="s">
        <v>1343</v>
      </c>
      <c r="W84" t="s">
        <v>1342</v>
      </c>
    </row>
    <row r="85" spans="1:23" x14ac:dyDescent="0.55000000000000004">
      <c r="A85">
        <v>202</v>
      </c>
      <c r="B85" t="s">
        <v>1314</v>
      </c>
      <c r="C85" t="s">
        <v>1310</v>
      </c>
      <c r="D85">
        <v>200</v>
      </c>
      <c r="E85" t="s">
        <v>1438</v>
      </c>
      <c r="F85" s="1">
        <v>41162</v>
      </c>
      <c r="G85">
        <v>7489</v>
      </c>
      <c r="H85">
        <v>5280</v>
      </c>
      <c r="I85" s="1">
        <v>41162</v>
      </c>
      <c r="J85" t="s">
        <v>1316</v>
      </c>
      <c r="K85" t="s">
        <v>1315</v>
      </c>
      <c r="L85" t="s">
        <v>1313</v>
      </c>
      <c r="M85" t="s">
        <v>1351</v>
      </c>
      <c r="N85" t="s">
        <v>20</v>
      </c>
      <c r="O85" t="s">
        <v>1350</v>
      </c>
      <c r="P85" t="s">
        <v>1349</v>
      </c>
      <c r="Q85" t="s">
        <v>1348</v>
      </c>
      <c r="R85" t="s">
        <v>1347</v>
      </c>
      <c r="S85" t="s">
        <v>1346</v>
      </c>
      <c r="T85" t="s">
        <v>1345</v>
      </c>
      <c r="U85" t="s">
        <v>1344</v>
      </c>
      <c r="V85" t="s">
        <v>1343</v>
      </c>
      <c r="W85" t="s">
        <v>1342</v>
      </c>
    </row>
    <row r="86" spans="1:23" x14ac:dyDescent="0.55000000000000004">
      <c r="A86">
        <v>202</v>
      </c>
      <c r="B86" t="s">
        <v>1322</v>
      </c>
      <c r="C86" t="s">
        <v>1318</v>
      </c>
      <c r="D86">
        <v>200</v>
      </c>
      <c r="E86" t="s">
        <v>1437</v>
      </c>
      <c r="F86" s="1">
        <v>41162</v>
      </c>
      <c r="G86">
        <v>7135</v>
      </c>
      <c r="H86">
        <v>5084</v>
      </c>
      <c r="I86" s="1">
        <v>41162</v>
      </c>
      <c r="J86" t="s">
        <v>1324</v>
      </c>
      <c r="K86" t="s">
        <v>1323</v>
      </c>
      <c r="L86" t="s">
        <v>1321</v>
      </c>
      <c r="M86" t="s">
        <v>1351</v>
      </c>
      <c r="N86" t="s">
        <v>20</v>
      </c>
      <c r="O86" t="s">
        <v>1350</v>
      </c>
      <c r="P86" t="s">
        <v>1349</v>
      </c>
      <c r="Q86" t="s">
        <v>1348</v>
      </c>
      <c r="R86" t="s">
        <v>1347</v>
      </c>
      <c r="S86" t="s">
        <v>1346</v>
      </c>
      <c r="T86" t="s">
        <v>1345</v>
      </c>
      <c r="U86" t="s">
        <v>1344</v>
      </c>
      <c r="V86" t="s">
        <v>1343</v>
      </c>
      <c r="W86" t="s">
        <v>1342</v>
      </c>
    </row>
    <row r="87" spans="1:23" x14ac:dyDescent="0.55000000000000004">
      <c r="A87">
        <v>202</v>
      </c>
      <c r="B87" t="s">
        <v>1330</v>
      </c>
      <c r="C87" t="s">
        <v>1326</v>
      </c>
      <c r="D87">
        <v>200</v>
      </c>
      <c r="E87" t="s">
        <v>1436</v>
      </c>
      <c r="F87" s="1">
        <v>41162</v>
      </c>
      <c r="G87">
        <v>7615</v>
      </c>
      <c r="H87">
        <v>5420</v>
      </c>
      <c r="I87" s="1">
        <v>41162</v>
      </c>
      <c r="J87" t="s">
        <v>1332</v>
      </c>
      <c r="K87" t="s">
        <v>1331</v>
      </c>
      <c r="L87" t="s">
        <v>1329</v>
      </c>
      <c r="M87" t="s">
        <v>1351</v>
      </c>
      <c r="N87" t="s">
        <v>20</v>
      </c>
      <c r="O87" t="s">
        <v>1350</v>
      </c>
      <c r="P87" t="s">
        <v>1349</v>
      </c>
      <c r="Q87" t="s">
        <v>1348</v>
      </c>
      <c r="R87" t="s">
        <v>1347</v>
      </c>
      <c r="S87" t="s">
        <v>1346</v>
      </c>
      <c r="T87" t="s">
        <v>1345</v>
      </c>
      <c r="U87" t="s">
        <v>1344</v>
      </c>
      <c r="V87" t="s">
        <v>1343</v>
      </c>
      <c r="W87" t="s">
        <v>1342</v>
      </c>
    </row>
    <row r="88" spans="1:23" x14ac:dyDescent="0.55000000000000004">
      <c r="A88">
        <v>202</v>
      </c>
      <c r="B88" t="s">
        <v>1338</v>
      </c>
      <c r="C88" t="s">
        <v>1334</v>
      </c>
      <c r="D88">
        <v>200</v>
      </c>
      <c r="E88" t="s">
        <v>1435</v>
      </c>
      <c r="F88" s="1">
        <v>41162</v>
      </c>
      <c r="G88">
        <v>8954</v>
      </c>
      <c r="H88">
        <v>6365</v>
      </c>
      <c r="I88" s="1">
        <v>41162</v>
      </c>
      <c r="J88" t="s">
        <v>1340</v>
      </c>
      <c r="K88" t="s">
        <v>1339</v>
      </c>
      <c r="L88" t="s">
        <v>1337</v>
      </c>
      <c r="M88" t="s">
        <v>1351</v>
      </c>
      <c r="N88" t="s">
        <v>20</v>
      </c>
      <c r="O88" t="s">
        <v>1350</v>
      </c>
      <c r="P88" t="s">
        <v>1349</v>
      </c>
      <c r="Q88" t="s">
        <v>1348</v>
      </c>
      <c r="R88" t="s">
        <v>1347</v>
      </c>
      <c r="S88" t="s">
        <v>1346</v>
      </c>
      <c r="T88" t="s">
        <v>1345</v>
      </c>
      <c r="U88" t="s">
        <v>1344</v>
      </c>
      <c r="V88" t="s">
        <v>1343</v>
      </c>
      <c r="W88" t="s">
        <v>1342</v>
      </c>
    </row>
    <row r="89" spans="1:23" x14ac:dyDescent="0.55000000000000004">
      <c r="A89">
        <v>202</v>
      </c>
      <c r="B89" t="s">
        <v>994</v>
      </c>
      <c r="C89" t="s">
        <v>990</v>
      </c>
      <c r="D89">
        <v>200</v>
      </c>
      <c r="E89" t="s">
        <v>1434</v>
      </c>
      <c r="F89" s="1">
        <v>41162</v>
      </c>
      <c r="G89">
        <v>8045</v>
      </c>
      <c r="H89">
        <v>5731</v>
      </c>
      <c r="I89" s="1">
        <v>41162</v>
      </c>
      <c r="J89" t="s">
        <v>996</v>
      </c>
      <c r="K89" t="s">
        <v>995</v>
      </c>
      <c r="L89" t="s">
        <v>993</v>
      </c>
      <c r="M89" t="s">
        <v>1351</v>
      </c>
      <c r="N89" t="s">
        <v>20</v>
      </c>
      <c r="O89" t="s">
        <v>1350</v>
      </c>
      <c r="P89" t="s">
        <v>1349</v>
      </c>
      <c r="Q89" t="s">
        <v>1348</v>
      </c>
      <c r="R89" t="s">
        <v>1347</v>
      </c>
      <c r="S89" t="s">
        <v>1346</v>
      </c>
      <c r="T89" t="s">
        <v>1345</v>
      </c>
      <c r="U89" t="s">
        <v>1344</v>
      </c>
      <c r="V89" t="s">
        <v>1343</v>
      </c>
      <c r="W89" t="s">
        <v>1342</v>
      </c>
    </row>
    <row r="90" spans="1:23" x14ac:dyDescent="0.55000000000000004">
      <c r="A90">
        <v>202</v>
      </c>
      <c r="B90" t="s">
        <v>21</v>
      </c>
      <c r="C90" t="s">
        <v>13</v>
      </c>
      <c r="D90">
        <v>200</v>
      </c>
      <c r="E90" t="s">
        <v>1433</v>
      </c>
      <c r="F90" s="1">
        <v>41162</v>
      </c>
      <c r="G90">
        <v>7464</v>
      </c>
      <c r="H90">
        <v>5197</v>
      </c>
      <c r="I90" s="1">
        <v>41162</v>
      </c>
      <c r="J90" t="s">
        <v>23</v>
      </c>
      <c r="K90" t="s">
        <v>22</v>
      </c>
      <c r="L90" t="s">
        <v>19</v>
      </c>
      <c r="M90" t="s">
        <v>1351</v>
      </c>
      <c r="N90" t="s">
        <v>20</v>
      </c>
      <c r="O90" t="s">
        <v>1350</v>
      </c>
      <c r="P90" t="s">
        <v>1349</v>
      </c>
      <c r="Q90" t="s">
        <v>1348</v>
      </c>
      <c r="R90" t="s">
        <v>1347</v>
      </c>
      <c r="S90" t="s">
        <v>1346</v>
      </c>
      <c r="T90" t="s">
        <v>1345</v>
      </c>
      <c r="U90" t="s">
        <v>1344</v>
      </c>
      <c r="V90" t="s">
        <v>1343</v>
      </c>
      <c r="W90" t="s">
        <v>1342</v>
      </c>
    </row>
    <row r="91" spans="1:23" x14ac:dyDescent="0.55000000000000004">
      <c r="A91">
        <v>202</v>
      </c>
      <c r="B91" t="s">
        <v>31</v>
      </c>
      <c r="C91" t="s">
        <v>25</v>
      </c>
      <c r="D91">
        <v>200</v>
      </c>
      <c r="E91" t="s">
        <v>1432</v>
      </c>
      <c r="F91" s="1">
        <v>41162</v>
      </c>
      <c r="G91">
        <v>10327</v>
      </c>
      <c r="H91">
        <v>7178</v>
      </c>
      <c r="I91" s="1">
        <v>41162</v>
      </c>
      <c r="J91" t="s">
        <v>33</v>
      </c>
      <c r="K91" t="s">
        <v>32</v>
      </c>
      <c r="L91" t="s">
        <v>30</v>
      </c>
      <c r="M91" t="s">
        <v>1351</v>
      </c>
      <c r="N91" t="s">
        <v>20</v>
      </c>
      <c r="O91" t="s">
        <v>1350</v>
      </c>
      <c r="P91" t="s">
        <v>1349</v>
      </c>
      <c r="Q91" t="s">
        <v>1348</v>
      </c>
      <c r="R91" t="s">
        <v>1347</v>
      </c>
      <c r="S91" t="s">
        <v>1346</v>
      </c>
      <c r="T91" t="s">
        <v>1345</v>
      </c>
      <c r="U91" t="s">
        <v>1344</v>
      </c>
      <c r="V91" t="s">
        <v>1343</v>
      </c>
      <c r="W91" t="s">
        <v>1342</v>
      </c>
    </row>
    <row r="92" spans="1:23" x14ac:dyDescent="0.55000000000000004">
      <c r="A92">
        <v>202</v>
      </c>
      <c r="B92" t="s">
        <v>41</v>
      </c>
      <c r="C92" t="s">
        <v>35</v>
      </c>
      <c r="D92">
        <v>200</v>
      </c>
      <c r="E92" t="s">
        <v>1431</v>
      </c>
      <c r="F92" s="1">
        <v>41162</v>
      </c>
      <c r="G92">
        <v>8009</v>
      </c>
      <c r="H92">
        <v>5586</v>
      </c>
      <c r="I92" s="1">
        <v>41162</v>
      </c>
      <c r="J92" t="s">
        <v>43</v>
      </c>
      <c r="K92" t="s">
        <v>42</v>
      </c>
      <c r="L92" t="s">
        <v>40</v>
      </c>
      <c r="M92" t="s">
        <v>1351</v>
      </c>
      <c r="N92" t="s">
        <v>20</v>
      </c>
      <c r="O92" t="s">
        <v>1350</v>
      </c>
      <c r="P92" t="s">
        <v>1349</v>
      </c>
      <c r="Q92" t="s">
        <v>1348</v>
      </c>
      <c r="R92" t="s">
        <v>1347</v>
      </c>
      <c r="S92" t="s">
        <v>1346</v>
      </c>
      <c r="T92" t="s">
        <v>1345</v>
      </c>
      <c r="U92" t="s">
        <v>1344</v>
      </c>
      <c r="V92" t="s">
        <v>1343</v>
      </c>
      <c r="W92" t="s">
        <v>1342</v>
      </c>
    </row>
    <row r="93" spans="1:23" x14ac:dyDescent="0.55000000000000004">
      <c r="A93">
        <v>202</v>
      </c>
      <c r="B93" t="s">
        <v>50</v>
      </c>
      <c r="C93" t="s">
        <v>45</v>
      </c>
      <c r="D93">
        <v>200</v>
      </c>
      <c r="E93" t="s">
        <v>1430</v>
      </c>
      <c r="F93" s="1">
        <v>41162</v>
      </c>
      <c r="G93">
        <v>8924</v>
      </c>
      <c r="H93">
        <v>6193</v>
      </c>
      <c r="I93" s="1">
        <v>41162</v>
      </c>
      <c r="J93" t="s">
        <v>52</v>
      </c>
      <c r="K93" t="s">
        <v>51</v>
      </c>
      <c r="L93" t="s">
        <v>49</v>
      </c>
      <c r="M93" t="s">
        <v>1351</v>
      </c>
      <c r="N93" t="s">
        <v>20</v>
      </c>
      <c r="O93" t="s">
        <v>1350</v>
      </c>
      <c r="P93" t="s">
        <v>1349</v>
      </c>
      <c r="Q93" t="s">
        <v>1348</v>
      </c>
      <c r="R93" t="s">
        <v>1347</v>
      </c>
      <c r="S93" t="s">
        <v>1346</v>
      </c>
      <c r="T93" t="s">
        <v>1345</v>
      </c>
      <c r="U93" t="s">
        <v>1344</v>
      </c>
      <c r="V93" t="s">
        <v>1343</v>
      </c>
      <c r="W93" t="s">
        <v>1342</v>
      </c>
    </row>
    <row r="94" spans="1:23" x14ac:dyDescent="0.55000000000000004">
      <c r="A94">
        <v>202</v>
      </c>
      <c r="B94" t="s">
        <v>60</v>
      </c>
      <c r="C94" t="s">
        <v>54</v>
      </c>
      <c r="D94">
        <v>200</v>
      </c>
      <c r="E94" t="s">
        <v>1429</v>
      </c>
      <c r="F94" s="1">
        <v>41162</v>
      </c>
      <c r="G94">
        <v>7514</v>
      </c>
      <c r="H94">
        <v>5295</v>
      </c>
      <c r="I94" s="1">
        <v>41162</v>
      </c>
      <c r="J94" t="s">
        <v>62</v>
      </c>
      <c r="K94" t="s">
        <v>61</v>
      </c>
      <c r="L94" t="s">
        <v>59</v>
      </c>
      <c r="M94" t="s">
        <v>1351</v>
      </c>
      <c r="N94" t="s">
        <v>20</v>
      </c>
      <c r="O94" t="s">
        <v>1350</v>
      </c>
      <c r="P94" t="s">
        <v>1349</v>
      </c>
      <c r="Q94" t="s">
        <v>1348</v>
      </c>
      <c r="R94" t="s">
        <v>1347</v>
      </c>
      <c r="S94" t="s">
        <v>1346</v>
      </c>
      <c r="T94" t="s">
        <v>1345</v>
      </c>
      <c r="U94" t="s">
        <v>1344</v>
      </c>
      <c r="V94" t="s">
        <v>1343</v>
      </c>
      <c r="W94" t="s">
        <v>1342</v>
      </c>
    </row>
    <row r="95" spans="1:23" x14ac:dyDescent="0.55000000000000004">
      <c r="A95">
        <v>202</v>
      </c>
      <c r="B95" t="s">
        <v>68</v>
      </c>
      <c r="C95" t="s">
        <v>64</v>
      </c>
      <c r="D95">
        <v>200</v>
      </c>
      <c r="E95" t="s">
        <v>1428</v>
      </c>
      <c r="F95" s="1">
        <v>41162</v>
      </c>
      <c r="G95">
        <v>8931</v>
      </c>
      <c r="H95">
        <v>6267</v>
      </c>
      <c r="I95" s="1">
        <v>41162</v>
      </c>
      <c r="J95" t="s">
        <v>70</v>
      </c>
      <c r="K95" t="s">
        <v>69</v>
      </c>
      <c r="L95" t="s">
        <v>67</v>
      </c>
      <c r="M95" t="s">
        <v>1351</v>
      </c>
      <c r="N95" t="s">
        <v>20</v>
      </c>
      <c r="O95" t="s">
        <v>1350</v>
      </c>
      <c r="P95" t="s">
        <v>1349</v>
      </c>
      <c r="Q95" t="s">
        <v>1348</v>
      </c>
      <c r="R95" t="s">
        <v>1347</v>
      </c>
      <c r="S95" t="s">
        <v>1346</v>
      </c>
      <c r="T95" t="s">
        <v>1345</v>
      </c>
      <c r="U95" t="s">
        <v>1344</v>
      </c>
      <c r="V95" t="s">
        <v>1343</v>
      </c>
      <c r="W95" t="s">
        <v>1342</v>
      </c>
    </row>
    <row r="96" spans="1:23" x14ac:dyDescent="0.55000000000000004">
      <c r="A96">
        <v>202</v>
      </c>
      <c r="B96" t="s">
        <v>76</v>
      </c>
      <c r="C96" t="s">
        <v>72</v>
      </c>
      <c r="D96">
        <v>200</v>
      </c>
      <c r="E96" t="s">
        <v>1427</v>
      </c>
      <c r="F96" s="1">
        <v>41162</v>
      </c>
      <c r="G96">
        <v>8772</v>
      </c>
      <c r="H96">
        <v>6140</v>
      </c>
      <c r="I96" s="1">
        <v>41162</v>
      </c>
      <c r="J96" t="s">
        <v>78</v>
      </c>
      <c r="K96" t="s">
        <v>77</v>
      </c>
      <c r="L96" t="s">
        <v>75</v>
      </c>
      <c r="M96" t="s">
        <v>1351</v>
      </c>
      <c r="N96" t="s">
        <v>20</v>
      </c>
      <c r="O96" t="s">
        <v>1350</v>
      </c>
      <c r="P96" t="s">
        <v>1349</v>
      </c>
      <c r="Q96" t="s">
        <v>1348</v>
      </c>
      <c r="R96" t="s">
        <v>1347</v>
      </c>
      <c r="S96" t="s">
        <v>1346</v>
      </c>
      <c r="T96" t="s">
        <v>1345</v>
      </c>
      <c r="U96" t="s">
        <v>1344</v>
      </c>
      <c r="V96" t="s">
        <v>1343</v>
      </c>
      <c r="W96" t="s">
        <v>1342</v>
      </c>
    </row>
    <row r="97" spans="1:23" x14ac:dyDescent="0.55000000000000004">
      <c r="A97">
        <v>202</v>
      </c>
      <c r="B97" t="s">
        <v>85</v>
      </c>
      <c r="C97" t="s">
        <v>80</v>
      </c>
      <c r="D97">
        <v>200</v>
      </c>
      <c r="E97" t="s">
        <v>1426</v>
      </c>
      <c r="F97" s="1">
        <v>41162</v>
      </c>
      <c r="G97">
        <v>9100</v>
      </c>
      <c r="H97">
        <v>6356</v>
      </c>
      <c r="I97" s="1">
        <v>41162</v>
      </c>
      <c r="J97" t="s">
        <v>87</v>
      </c>
      <c r="K97" t="s">
        <v>86</v>
      </c>
      <c r="L97" t="s">
        <v>84</v>
      </c>
      <c r="M97" t="s">
        <v>1351</v>
      </c>
      <c r="N97" t="s">
        <v>20</v>
      </c>
      <c r="O97" t="s">
        <v>1350</v>
      </c>
      <c r="P97" t="s">
        <v>1349</v>
      </c>
      <c r="Q97" t="s">
        <v>1348</v>
      </c>
      <c r="R97" t="s">
        <v>1347</v>
      </c>
      <c r="S97" t="s">
        <v>1346</v>
      </c>
      <c r="T97" t="s">
        <v>1345</v>
      </c>
      <c r="U97" t="s">
        <v>1344</v>
      </c>
      <c r="V97" t="s">
        <v>1343</v>
      </c>
      <c r="W97" t="s">
        <v>1342</v>
      </c>
    </row>
    <row r="98" spans="1:23" x14ac:dyDescent="0.55000000000000004">
      <c r="A98">
        <v>202</v>
      </c>
      <c r="B98" t="s">
        <v>93</v>
      </c>
      <c r="C98" t="s">
        <v>89</v>
      </c>
      <c r="D98">
        <v>200</v>
      </c>
      <c r="E98" t="s">
        <v>1425</v>
      </c>
      <c r="F98" s="1">
        <v>41162</v>
      </c>
      <c r="G98">
        <v>7177</v>
      </c>
      <c r="H98">
        <v>5038</v>
      </c>
      <c r="I98" s="1">
        <v>41162</v>
      </c>
      <c r="J98" t="s">
        <v>95</v>
      </c>
      <c r="K98" t="s">
        <v>94</v>
      </c>
      <c r="L98" t="s">
        <v>92</v>
      </c>
      <c r="M98" t="s">
        <v>1351</v>
      </c>
      <c r="N98" t="s">
        <v>20</v>
      </c>
      <c r="O98" t="s">
        <v>1350</v>
      </c>
      <c r="P98" t="s">
        <v>1349</v>
      </c>
      <c r="Q98" t="s">
        <v>1348</v>
      </c>
      <c r="R98" t="s">
        <v>1347</v>
      </c>
      <c r="S98" t="s">
        <v>1346</v>
      </c>
      <c r="T98" t="s">
        <v>1345</v>
      </c>
      <c r="U98" t="s">
        <v>1344</v>
      </c>
      <c r="V98" t="s">
        <v>1343</v>
      </c>
      <c r="W98" t="s">
        <v>1342</v>
      </c>
    </row>
    <row r="99" spans="1:23" x14ac:dyDescent="0.55000000000000004">
      <c r="A99">
        <v>202</v>
      </c>
      <c r="B99" t="s">
        <v>102</v>
      </c>
      <c r="C99" t="s">
        <v>97</v>
      </c>
      <c r="D99">
        <v>200</v>
      </c>
      <c r="E99" t="s">
        <v>1424</v>
      </c>
      <c r="F99" s="1">
        <v>41162</v>
      </c>
      <c r="G99">
        <v>8754</v>
      </c>
      <c r="H99">
        <v>6108</v>
      </c>
      <c r="I99" s="1">
        <v>41162</v>
      </c>
      <c r="J99" t="s">
        <v>104</v>
      </c>
      <c r="K99" t="s">
        <v>103</v>
      </c>
      <c r="L99" t="s">
        <v>101</v>
      </c>
      <c r="M99" t="s">
        <v>1351</v>
      </c>
      <c r="N99" t="s">
        <v>20</v>
      </c>
      <c r="O99" t="s">
        <v>1350</v>
      </c>
      <c r="P99" t="s">
        <v>1349</v>
      </c>
      <c r="Q99" t="s">
        <v>1348</v>
      </c>
      <c r="R99" t="s">
        <v>1347</v>
      </c>
      <c r="S99" t="s">
        <v>1346</v>
      </c>
      <c r="T99" t="s">
        <v>1345</v>
      </c>
      <c r="U99" t="s">
        <v>1344</v>
      </c>
      <c r="V99" t="s">
        <v>1343</v>
      </c>
      <c r="W99" t="s">
        <v>1342</v>
      </c>
    </row>
    <row r="100" spans="1:23" x14ac:dyDescent="0.55000000000000004">
      <c r="A100">
        <v>202</v>
      </c>
      <c r="B100" t="s">
        <v>110</v>
      </c>
      <c r="C100" t="s">
        <v>106</v>
      </c>
      <c r="D100">
        <v>200</v>
      </c>
      <c r="E100" t="s">
        <v>1423</v>
      </c>
      <c r="F100" s="1">
        <v>41162</v>
      </c>
      <c r="G100">
        <v>7001</v>
      </c>
      <c r="H100">
        <v>4765</v>
      </c>
      <c r="I100" s="1">
        <v>41162</v>
      </c>
      <c r="J100" t="s">
        <v>112</v>
      </c>
      <c r="K100" t="s">
        <v>111</v>
      </c>
      <c r="L100" t="s">
        <v>109</v>
      </c>
      <c r="M100" t="s">
        <v>1351</v>
      </c>
      <c r="N100" t="s">
        <v>20</v>
      </c>
      <c r="O100" t="s">
        <v>1350</v>
      </c>
      <c r="P100" t="s">
        <v>1349</v>
      </c>
      <c r="Q100" t="s">
        <v>1348</v>
      </c>
      <c r="R100" t="s">
        <v>1347</v>
      </c>
      <c r="S100" t="s">
        <v>1346</v>
      </c>
      <c r="T100" t="s">
        <v>1345</v>
      </c>
      <c r="U100" t="s">
        <v>1344</v>
      </c>
      <c r="V100" t="s">
        <v>1343</v>
      </c>
      <c r="W100" t="s">
        <v>1342</v>
      </c>
    </row>
    <row r="101" spans="1:23" x14ac:dyDescent="0.55000000000000004">
      <c r="A101">
        <v>202</v>
      </c>
      <c r="B101" t="s">
        <v>118</v>
      </c>
      <c r="C101" t="s">
        <v>114</v>
      </c>
      <c r="D101">
        <v>200</v>
      </c>
      <c r="E101" t="s">
        <v>1422</v>
      </c>
      <c r="F101" s="1">
        <v>41162</v>
      </c>
      <c r="G101">
        <v>6502</v>
      </c>
      <c r="H101">
        <v>4452</v>
      </c>
      <c r="I101" s="1">
        <v>41162</v>
      </c>
      <c r="J101" t="s">
        <v>120</v>
      </c>
      <c r="K101" t="s">
        <v>119</v>
      </c>
      <c r="L101" t="s">
        <v>117</v>
      </c>
      <c r="M101" t="s">
        <v>1351</v>
      </c>
      <c r="N101" t="s">
        <v>20</v>
      </c>
      <c r="O101" t="s">
        <v>1350</v>
      </c>
      <c r="P101" t="s">
        <v>1349</v>
      </c>
      <c r="Q101" t="s">
        <v>1348</v>
      </c>
      <c r="R101" t="s">
        <v>1347</v>
      </c>
      <c r="S101" t="s">
        <v>1346</v>
      </c>
      <c r="T101" t="s">
        <v>1345</v>
      </c>
      <c r="U101" t="s">
        <v>1344</v>
      </c>
      <c r="V101" t="s">
        <v>1343</v>
      </c>
      <c r="W101" t="s">
        <v>1342</v>
      </c>
    </row>
    <row r="102" spans="1:23" x14ac:dyDescent="0.55000000000000004">
      <c r="A102">
        <v>202</v>
      </c>
      <c r="B102" t="s">
        <v>126</v>
      </c>
      <c r="C102" t="s">
        <v>122</v>
      </c>
      <c r="D102">
        <v>200</v>
      </c>
      <c r="E102" t="s">
        <v>1421</v>
      </c>
      <c r="F102" s="1">
        <v>41162</v>
      </c>
      <c r="G102">
        <v>6082</v>
      </c>
      <c r="H102">
        <v>4142</v>
      </c>
      <c r="I102" s="1">
        <v>41162</v>
      </c>
      <c r="J102" t="s">
        <v>128</v>
      </c>
      <c r="K102" t="s">
        <v>127</v>
      </c>
      <c r="L102" t="s">
        <v>125</v>
      </c>
      <c r="M102" t="s">
        <v>1351</v>
      </c>
      <c r="N102" t="s">
        <v>20</v>
      </c>
      <c r="O102" t="s">
        <v>1350</v>
      </c>
      <c r="P102" t="s">
        <v>1349</v>
      </c>
      <c r="Q102" t="s">
        <v>1348</v>
      </c>
      <c r="R102" t="s">
        <v>1347</v>
      </c>
      <c r="S102" t="s">
        <v>1346</v>
      </c>
      <c r="T102" t="s">
        <v>1345</v>
      </c>
      <c r="U102" t="s">
        <v>1344</v>
      </c>
      <c r="V102" t="s">
        <v>1343</v>
      </c>
      <c r="W102" t="s">
        <v>1342</v>
      </c>
    </row>
    <row r="103" spans="1:23" x14ac:dyDescent="0.55000000000000004">
      <c r="A103">
        <v>202</v>
      </c>
      <c r="B103" t="s">
        <v>134</v>
      </c>
      <c r="C103" t="s">
        <v>130</v>
      </c>
      <c r="D103">
        <v>200</v>
      </c>
      <c r="E103" t="s">
        <v>1420</v>
      </c>
      <c r="F103" s="1">
        <v>41162</v>
      </c>
      <c r="G103">
        <v>7624</v>
      </c>
      <c r="H103">
        <v>5161</v>
      </c>
      <c r="I103" s="1">
        <v>41162</v>
      </c>
      <c r="J103" t="s">
        <v>136</v>
      </c>
      <c r="K103" t="s">
        <v>135</v>
      </c>
      <c r="L103" t="s">
        <v>133</v>
      </c>
      <c r="M103" t="s">
        <v>1351</v>
      </c>
      <c r="N103" t="s">
        <v>20</v>
      </c>
      <c r="O103" t="s">
        <v>1350</v>
      </c>
      <c r="P103" t="s">
        <v>1349</v>
      </c>
      <c r="Q103" t="s">
        <v>1348</v>
      </c>
      <c r="R103" t="s">
        <v>1347</v>
      </c>
      <c r="S103" t="s">
        <v>1346</v>
      </c>
      <c r="T103" t="s">
        <v>1345</v>
      </c>
      <c r="U103" t="s">
        <v>1344</v>
      </c>
      <c r="V103" t="s">
        <v>1343</v>
      </c>
      <c r="W103" t="s">
        <v>1342</v>
      </c>
    </row>
    <row r="104" spans="1:23" x14ac:dyDescent="0.55000000000000004">
      <c r="A104">
        <v>202</v>
      </c>
      <c r="B104" t="s">
        <v>142</v>
      </c>
      <c r="C104" t="s">
        <v>138</v>
      </c>
      <c r="D104">
        <v>200</v>
      </c>
      <c r="E104" t="s">
        <v>1419</v>
      </c>
      <c r="F104" s="1">
        <v>41162</v>
      </c>
      <c r="G104">
        <v>11591</v>
      </c>
      <c r="H104">
        <v>7888</v>
      </c>
      <c r="I104" s="1">
        <v>41162</v>
      </c>
      <c r="J104" t="s">
        <v>144</v>
      </c>
      <c r="K104" t="s">
        <v>143</v>
      </c>
      <c r="L104" t="s">
        <v>141</v>
      </c>
      <c r="M104" t="s">
        <v>1351</v>
      </c>
      <c r="N104" t="s">
        <v>20</v>
      </c>
      <c r="O104" t="s">
        <v>1350</v>
      </c>
      <c r="P104" t="s">
        <v>1349</v>
      </c>
      <c r="Q104" t="s">
        <v>1348</v>
      </c>
      <c r="R104" t="s">
        <v>1347</v>
      </c>
      <c r="S104" t="s">
        <v>1346</v>
      </c>
      <c r="T104" t="s">
        <v>1345</v>
      </c>
      <c r="U104" t="s">
        <v>1344</v>
      </c>
      <c r="V104" t="s">
        <v>1343</v>
      </c>
      <c r="W104" t="s">
        <v>1342</v>
      </c>
    </row>
    <row r="105" spans="1:23" x14ac:dyDescent="0.55000000000000004">
      <c r="A105">
        <v>202</v>
      </c>
      <c r="B105" t="s">
        <v>150</v>
      </c>
      <c r="C105" t="s">
        <v>146</v>
      </c>
      <c r="D105">
        <v>200</v>
      </c>
      <c r="E105" t="s">
        <v>1418</v>
      </c>
      <c r="F105" s="1">
        <v>41162</v>
      </c>
      <c r="G105">
        <v>7435</v>
      </c>
      <c r="H105">
        <v>5025</v>
      </c>
      <c r="I105" s="1">
        <v>41162</v>
      </c>
      <c r="J105" t="s">
        <v>152</v>
      </c>
      <c r="K105" t="s">
        <v>151</v>
      </c>
      <c r="L105" t="s">
        <v>149</v>
      </c>
      <c r="M105" t="s">
        <v>1351</v>
      </c>
      <c r="N105" t="s">
        <v>20</v>
      </c>
      <c r="O105" t="s">
        <v>1350</v>
      </c>
      <c r="P105" t="s">
        <v>1349</v>
      </c>
      <c r="Q105" t="s">
        <v>1348</v>
      </c>
      <c r="R105" t="s">
        <v>1347</v>
      </c>
      <c r="S105" t="s">
        <v>1346</v>
      </c>
      <c r="T105" t="s">
        <v>1345</v>
      </c>
      <c r="U105" t="s">
        <v>1344</v>
      </c>
      <c r="V105" t="s">
        <v>1343</v>
      </c>
      <c r="W105" t="s">
        <v>1342</v>
      </c>
    </row>
    <row r="106" spans="1:23" x14ac:dyDescent="0.55000000000000004">
      <c r="A106">
        <v>202</v>
      </c>
      <c r="B106" t="s">
        <v>158</v>
      </c>
      <c r="C106" t="s">
        <v>154</v>
      </c>
      <c r="D106">
        <v>200</v>
      </c>
      <c r="E106" t="s">
        <v>1417</v>
      </c>
      <c r="F106" s="1">
        <v>41162</v>
      </c>
      <c r="G106">
        <v>7237</v>
      </c>
      <c r="H106">
        <v>4896</v>
      </c>
      <c r="I106" s="1">
        <v>41162</v>
      </c>
      <c r="J106" t="s">
        <v>160</v>
      </c>
      <c r="K106" t="s">
        <v>159</v>
      </c>
      <c r="L106" t="s">
        <v>157</v>
      </c>
      <c r="M106" t="s">
        <v>1351</v>
      </c>
      <c r="N106" t="s">
        <v>20</v>
      </c>
      <c r="O106" t="s">
        <v>1350</v>
      </c>
      <c r="P106" t="s">
        <v>1349</v>
      </c>
      <c r="Q106" t="s">
        <v>1348</v>
      </c>
      <c r="R106" t="s">
        <v>1347</v>
      </c>
      <c r="S106" t="s">
        <v>1346</v>
      </c>
      <c r="T106" t="s">
        <v>1345</v>
      </c>
      <c r="U106" t="s">
        <v>1344</v>
      </c>
      <c r="V106" t="s">
        <v>1343</v>
      </c>
      <c r="W106" t="s">
        <v>1342</v>
      </c>
    </row>
    <row r="107" spans="1:23" x14ac:dyDescent="0.55000000000000004">
      <c r="A107">
        <v>202</v>
      </c>
      <c r="B107" t="s">
        <v>166</v>
      </c>
      <c r="C107" t="s">
        <v>162</v>
      </c>
      <c r="D107">
        <v>200</v>
      </c>
      <c r="E107" t="s">
        <v>1416</v>
      </c>
      <c r="F107" s="1">
        <v>41162</v>
      </c>
      <c r="G107">
        <v>8399</v>
      </c>
      <c r="H107">
        <v>5683</v>
      </c>
      <c r="I107" s="1">
        <v>41162</v>
      </c>
      <c r="J107" t="s">
        <v>168</v>
      </c>
      <c r="K107" t="s">
        <v>167</v>
      </c>
      <c r="L107" t="s">
        <v>165</v>
      </c>
      <c r="M107" t="s">
        <v>1351</v>
      </c>
      <c r="N107" t="s">
        <v>20</v>
      </c>
      <c r="O107" t="s">
        <v>1350</v>
      </c>
      <c r="P107" t="s">
        <v>1349</v>
      </c>
      <c r="Q107" t="s">
        <v>1348</v>
      </c>
      <c r="R107" t="s">
        <v>1347</v>
      </c>
      <c r="S107" t="s">
        <v>1346</v>
      </c>
      <c r="T107" t="s">
        <v>1345</v>
      </c>
      <c r="U107" t="s">
        <v>1344</v>
      </c>
      <c r="V107" t="s">
        <v>1343</v>
      </c>
      <c r="W107" t="s">
        <v>1342</v>
      </c>
    </row>
    <row r="108" spans="1:23" x14ac:dyDescent="0.55000000000000004">
      <c r="A108">
        <v>202</v>
      </c>
      <c r="B108" t="s">
        <v>174</v>
      </c>
      <c r="C108" t="s">
        <v>170</v>
      </c>
      <c r="D108">
        <v>200</v>
      </c>
      <c r="E108" t="s">
        <v>1415</v>
      </c>
      <c r="F108" s="1">
        <v>41162</v>
      </c>
      <c r="G108">
        <v>7630</v>
      </c>
      <c r="H108">
        <v>5163</v>
      </c>
      <c r="I108" s="1">
        <v>41162</v>
      </c>
      <c r="J108" t="s">
        <v>176</v>
      </c>
      <c r="K108" t="s">
        <v>175</v>
      </c>
      <c r="L108" t="s">
        <v>173</v>
      </c>
      <c r="M108" t="s">
        <v>1351</v>
      </c>
      <c r="N108" t="s">
        <v>20</v>
      </c>
      <c r="O108" t="s">
        <v>1350</v>
      </c>
      <c r="P108" t="s">
        <v>1349</v>
      </c>
      <c r="Q108" t="s">
        <v>1348</v>
      </c>
      <c r="R108" t="s">
        <v>1347</v>
      </c>
      <c r="S108" t="s">
        <v>1346</v>
      </c>
      <c r="T108" t="s">
        <v>1345</v>
      </c>
      <c r="U108" t="s">
        <v>1344</v>
      </c>
      <c r="V108" t="s">
        <v>1343</v>
      </c>
      <c r="W108" t="s">
        <v>1342</v>
      </c>
    </row>
    <row r="109" spans="1:23" x14ac:dyDescent="0.55000000000000004">
      <c r="A109">
        <v>202</v>
      </c>
      <c r="B109" t="s">
        <v>182</v>
      </c>
      <c r="C109" t="s">
        <v>178</v>
      </c>
      <c r="D109">
        <v>200</v>
      </c>
      <c r="E109" t="s">
        <v>1414</v>
      </c>
      <c r="F109" s="1">
        <v>41162</v>
      </c>
      <c r="G109">
        <v>7054</v>
      </c>
      <c r="H109">
        <v>4766</v>
      </c>
      <c r="I109" s="1">
        <v>41162</v>
      </c>
      <c r="J109" t="s">
        <v>184</v>
      </c>
      <c r="K109" t="s">
        <v>183</v>
      </c>
      <c r="L109" t="s">
        <v>181</v>
      </c>
      <c r="M109" t="s">
        <v>1351</v>
      </c>
      <c r="N109" t="s">
        <v>20</v>
      </c>
      <c r="O109" t="s">
        <v>1350</v>
      </c>
      <c r="P109" t="s">
        <v>1349</v>
      </c>
      <c r="Q109" t="s">
        <v>1348</v>
      </c>
      <c r="R109" t="s">
        <v>1347</v>
      </c>
      <c r="S109" t="s">
        <v>1346</v>
      </c>
      <c r="T109" t="s">
        <v>1345</v>
      </c>
      <c r="U109" t="s">
        <v>1344</v>
      </c>
      <c r="V109" t="s">
        <v>1343</v>
      </c>
      <c r="W109" t="s">
        <v>1342</v>
      </c>
    </row>
    <row r="110" spans="1:23" x14ac:dyDescent="0.55000000000000004">
      <c r="A110">
        <v>202</v>
      </c>
      <c r="B110" t="s">
        <v>190</v>
      </c>
      <c r="C110" t="s">
        <v>186</v>
      </c>
      <c r="D110">
        <v>200</v>
      </c>
      <c r="E110" t="s">
        <v>1413</v>
      </c>
      <c r="F110" s="1">
        <v>41162</v>
      </c>
      <c r="G110">
        <v>6363</v>
      </c>
      <c r="H110">
        <v>4296</v>
      </c>
      <c r="I110" s="1">
        <v>41162</v>
      </c>
      <c r="J110" t="s">
        <v>192</v>
      </c>
      <c r="K110" t="s">
        <v>191</v>
      </c>
      <c r="L110" t="s">
        <v>189</v>
      </c>
      <c r="M110" t="s">
        <v>1351</v>
      </c>
      <c r="N110" t="s">
        <v>20</v>
      </c>
      <c r="O110" t="s">
        <v>1350</v>
      </c>
      <c r="P110" t="s">
        <v>1349</v>
      </c>
      <c r="Q110" t="s">
        <v>1348</v>
      </c>
      <c r="R110" t="s">
        <v>1347</v>
      </c>
      <c r="S110" t="s">
        <v>1346</v>
      </c>
      <c r="T110" t="s">
        <v>1345</v>
      </c>
      <c r="U110" t="s">
        <v>1344</v>
      </c>
      <c r="V110" t="s">
        <v>1343</v>
      </c>
      <c r="W110" t="s">
        <v>1342</v>
      </c>
    </row>
    <row r="111" spans="1:23" x14ac:dyDescent="0.55000000000000004">
      <c r="A111">
        <v>202</v>
      </c>
      <c r="B111" t="s">
        <v>198</v>
      </c>
      <c r="C111" t="s">
        <v>194</v>
      </c>
      <c r="D111">
        <v>200</v>
      </c>
      <c r="E111" t="s">
        <v>1412</v>
      </c>
      <c r="F111" s="1">
        <v>41162</v>
      </c>
      <c r="G111">
        <v>7094</v>
      </c>
      <c r="H111">
        <v>4864</v>
      </c>
      <c r="I111" s="1">
        <v>41162</v>
      </c>
      <c r="J111" t="s">
        <v>200</v>
      </c>
      <c r="K111" t="s">
        <v>199</v>
      </c>
      <c r="L111" t="s">
        <v>197</v>
      </c>
      <c r="M111" t="s">
        <v>1351</v>
      </c>
      <c r="N111" t="s">
        <v>20</v>
      </c>
      <c r="O111" t="s">
        <v>1350</v>
      </c>
      <c r="P111" t="s">
        <v>1349</v>
      </c>
      <c r="Q111" t="s">
        <v>1348</v>
      </c>
      <c r="R111" t="s">
        <v>1347</v>
      </c>
      <c r="S111" t="s">
        <v>1346</v>
      </c>
      <c r="T111" t="s">
        <v>1345</v>
      </c>
      <c r="U111" t="s">
        <v>1344</v>
      </c>
      <c r="V111" t="s">
        <v>1343</v>
      </c>
      <c r="W111" t="s">
        <v>1342</v>
      </c>
    </row>
    <row r="112" spans="1:23" x14ac:dyDescent="0.55000000000000004">
      <c r="A112">
        <v>202</v>
      </c>
      <c r="B112" t="s">
        <v>206</v>
      </c>
      <c r="C112" t="s">
        <v>202</v>
      </c>
      <c r="D112">
        <v>200</v>
      </c>
      <c r="E112" t="s">
        <v>1411</v>
      </c>
      <c r="F112" s="1">
        <v>41162</v>
      </c>
      <c r="G112">
        <v>8051</v>
      </c>
      <c r="H112">
        <v>5525</v>
      </c>
      <c r="I112" s="1">
        <v>41162</v>
      </c>
      <c r="J112" t="s">
        <v>208</v>
      </c>
      <c r="K112" t="s">
        <v>207</v>
      </c>
      <c r="L112" t="s">
        <v>205</v>
      </c>
      <c r="M112" t="s">
        <v>1351</v>
      </c>
      <c r="N112" t="s">
        <v>20</v>
      </c>
      <c r="O112" t="s">
        <v>1350</v>
      </c>
      <c r="P112" t="s">
        <v>1349</v>
      </c>
      <c r="Q112" t="s">
        <v>1348</v>
      </c>
      <c r="R112" t="s">
        <v>1347</v>
      </c>
      <c r="S112" t="s">
        <v>1346</v>
      </c>
      <c r="T112" t="s">
        <v>1345</v>
      </c>
      <c r="U112" t="s">
        <v>1344</v>
      </c>
      <c r="V112" t="s">
        <v>1343</v>
      </c>
      <c r="W112" t="s">
        <v>1342</v>
      </c>
    </row>
    <row r="113" spans="1:23" x14ac:dyDescent="0.55000000000000004">
      <c r="A113">
        <v>202</v>
      </c>
      <c r="B113" t="s">
        <v>214</v>
      </c>
      <c r="C113" t="s">
        <v>210</v>
      </c>
      <c r="D113">
        <v>200</v>
      </c>
      <c r="E113" t="s">
        <v>1410</v>
      </c>
      <c r="F113" s="1">
        <v>41162</v>
      </c>
      <c r="G113">
        <v>6635</v>
      </c>
      <c r="H113">
        <v>4564</v>
      </c>
      <c r="I113" s="1">
        <v>41162</v>
      </c>
      <c r="J113" t="s">
        <v>216</v>
      </c>
      <c r="K113" t="s">
        <v>215</v>
      </c>
      <c r="L113" t="s">
        <v>213</v>
      </c>
      <c r="M113" t="s">
        <v>1351</v>
      </c>
      <c r="N113" t="s">
        <v>20</v>
      </c>
      <c r="O113" t="s">
        <v>1350</v>
      </c>
      <c r="P113" t="s">
        <v>1349</v>
      </c>
      <c r="Q113" t="s">
        <v>1348</v>
      </c>
      <c r="R113" t="s">
        <v>1347</v>
      </c>
      <c r="S113" t="s">
        <v>1346</v>
      </c>
      <c r="T113" t="s">
        <v>1345</v>
      </c>
      <c r="U113" t="s">
        <v>1344</v>
      </c>
      <c r="V113" t="s">
        <v>1343</v>
      </c>
      <c r="W113" t="s">
        <v>1342</v>
      </c>
    </row>
    <row r="114" spans="1:23" x14ac:dyDescent="0.55000000000000004">
      <c r="A114">
        <v>202</v>
      </c>
      <c r="B114" t="s">
        <v>222</v>
      </c>
      <c r="C114" t="s">
        <v>218</v>
      </c>
      <c r="D114">
        <v>200</v>
      </c>
      <c r="E114" t="s">
        <v>1409</v>
      </c>
      <c r="F114" s="1">
        <v>41162</v>
      </c>
      <c r="G114">
        <v>7871</v>
      </c>
      <c r="H114">
        <v>5420</v>
      </c>
      <c r="I114" s="1">
        <v>41162</v>
      </c>
      <c r="J114" t="s">
        <v>224</v>
      </c>
      <c r="K114" t="s">
        <v>223</v>
      </c>
      <c r="L114" t="s">
        <v>221</v>
      </c>
      <c r="M114" t="s">
        <v>1351</v>
      </c>
      <c r="N114" t="s">
        <v>20</v>
      </c>
      <c r="O114" t="s">
        <v>1350</v>
      </c>
      <c r="P114" t="s">
        <v>1349</v>
      </c>
      <c r="Q114" t="s">
        <v>1348</v>
      </c>
      <c r="R114" t="s">
        <v>1347</v>
      </c>
      <c r="S114" t="s">
        <v>1346</v>
      </c>
      <c r="T114" t="s">
        <v>1345</v>
      </c>
      <c r="U114" t="s">
        <v>1344</v>
      </c>
      <c r="V114" t="s">
        <v>1343</v>
      </c>
      <c r="W114" t="s">
        <v>1342</v>
      </c>
    </row>
    <row r="115" spans="1:23" x14ac:dyDescent="0.55000000000000004">
      <c r="A115">
        <v>202</v>
      </c>
      <c r="B115" t="s">
        <v>230</v>
      </c>
      <c r="C115" t="s">
        <v>226</v>
      </c>
      <c r="D115">
        <v>200</v>
      </c>
      <c r="E115" t="s">
        <v>1408</v>
      </c>
      <c r="F115" s="1">
        <v>41162</v>
      </c>
      <c r="G115">
        <v>7905</v>
      </c>
      <c r="H115">
        <v>5392</v>
      </c>
      <c r="I115" s="1">
        <v>41162</v>
      </c>
      <c r="J115" t="s">
        <v>232</v>
      </c>
      <c r="K115" t="s">
        <v>231</v>
      </c>
      <c r="L115" t="s">
        <v>229</v>
      </c>
      <c r="M115" t="s">
        <v>1351</v>
      </c>
      <c r="N115" t="s">
        <v>20</v>
      </c>
      <c r="O115" t="s">
        <v>1350</v>
      </c>
      <c r="P115" t="s">
        <v>1349</v>
      </c>
      <c r="Q115" t="s">
        <v>1348</v>
      </c>
      <c r="R115" t="s">
        <v>1347</v>
      </c>
      <c r="S115" t="s">
        <v>1346</v>
      </c>
      <c r="T115" t="s">
        <v>1345</v>
      </c>
      <c r="U115" t="s">
        <v>1344</v>
      </c>
      <c r="V115" t="s">
        <v>1343</v>
      </c>
      <c r="W115" t="s">
        <v>1342</v>
      </c>
    </row>
    <row r="116" spans="1:23" x14ac:dyDescent="0.55000000000000004">
      <c r="A116">
        <v>202</v>
      </c>
      <c r="B116" t="s">
        <v>238</v>
      </c>
      <c r="C116" t="s">
        <v>234</v>
      </c>
      <c r="D116">
        <v>200</v>
      </c>
      <c r="E116" t="s">
        <v>1407</v>
      </c>
      <c r="F116" s="1">
        <v>41162</v>
      </c>
      <c r="G116">
        <v>7725</v>
      </c>
      <c r="H116">
        <v>5275</v>
      </c>
      <c r="I116" s="1">
        <v>41162</v>
      </c>
      <c r="J116" t="s">
        <v>240</v>
      </c>
      <c r="K116" t="s">
        <v>239</v>
      </c>
      <c r="L116" t="s">
        <v>237</v>
      </c>
      <c r="M116" t="s">
        <v>1351</v>
      </c>
      <c r="N116" t="s">
        <v>20</v>
      </c>
      <c r="O116" t="s">
        <v>1350</v>
      </c>
      <c r="P116" t="s">
        <v>1349</v>
      </c>
      <c r="Q116" t="s">
        <v>1348</v>
      </c>
      <c r="R116" t="s">
        <v>1347</v>
      </c>
      <c r="S116" t="s">
        <v>1346</v>
      </c>
      <c r="T116" t="s">
        <v>1345</v>
      </c>
      <c r="U116" t="s">
        <v>1344</v>
      </c>
      <c r="V116" t="s">
        <v>1343</v>
      </c>
      <c r="W116" t="s">
        <v>1342</v>
      </c>
    </row>
    <row r="117" spans="1:23" x14ac:dyDescent="0.55000000000000004">
      <c r="A117">
        <v>202</v>
      </c>
      <c r="B117" t="s">
        <v>246</v>
      </c>
      <c r="C117" t="s">
        <v>242</v>
      </c>
      <c r="D117">
        <v>200</v>
      </c>
      <c r="E117" t="s">
        <v>1406</v>
      </c>
      <c r="F117" s="1">
        <v>41162</v>
      </c>
      <c r="G117">
        <v>10203</v>
      </c>
      <c r="H117">
        <v>6695</v>
      </c>
      <c r="I117" s="1">
        <v>41162</v>
      </c>
      <c r="J117" t="s">
        <v>248</v>
      </c>
      <c r="K117" t="s">
        <v>247</v>
      </c>
      <c r="L117" t="s">
        <v>245</v>
      </c>
      <c r="M117" t="s">
        <v>1351</v>
      </c>
      <c r="N117" t="s">
        <v>20</v>
      </c>
      <c r="O117" t="s">
        <v>1350</v>
      </c>
      <c r="P117" t="s">
        <v>1349</v>
      </c>
      <c r="Q117" t="s">
        <v>1348</v>
      </c>
      <c r="R117" t="s">
        <v>1347</v>
      </c>
      <c r="S117" t="s">
        <v>1346</v>
      </c>
      <c r="T117" t="s">
        <v>1345</v>
      </c>
      <c r="U117" t="s">
        <v>1344</v>
      </c>
      <c r="V117" t="s">
        <v>1343</v>
      </c>
      <c r="W117" t="s">
        <v>1342</v>
      </c>
    </row>
    <row r="118" spans="1:23" x14ac:dyDescent="0.55000000000000004">
      <c r="A118">
        <v>202</v>
      </c>
      <c r="B118" t="s">
        <v>254</v>
      </c>
      <c r="C118" t="s">
        <v>250</v>
      </c>
      <c r="D118">
        <v>200</v>
      </c>
      <c r="E118" t="s">
        <v>1405</v>
      </c>
      <c r="F118" s="1">
        <v>41162</v>
      </c>
      <c r="G118">
        <v>10065</v>
      </c>
      <c r="H118">
        <v>6605</v>
      </c>
      <c r="I118" s="1">
        <v>41162</v>
      </c>
      <c r="J118" t="s">
        <v>256</v>
      </c>
      <c r="K118" t="s">
        <v>255</v>
      </c>
      <c r="L118" t="s">
        <v>253</v>
      </c>
      <c r="M118" t="s">
        <v>1351</v>
      </c>
      <c r="N118" t="s">
        <v>20</v>
      </c>
      <c r="O118" t="s">
        <v>1350</v>
      </c>
      <c r="P118" t="s">
        <v>1349</v>
      </c>
      <c r="Q118" t="s">
        <v>1348</v>
      </c>
      <c r="R118" t="s">
        <v>1347</v>
      </c>
      <c r="S118" t="s">
        <v>1346</v>
      </c>
      <c r="T118" t="s">
        <v>1345</v>
      </c>
      <c r="U118" t="s">
        <v>1344</v>
      </c>
      <c r="V118" t="s">
        <v>1343</v>
      </c>
      <c r="W118" t="s">
        <v>1342</v>
      </c>
    </row>
    <row r="119" spans="1:23" x14ac:dyDescent="0.55000000000000004">
      <c r="A119">
        <v>202</v>
      </c>
      <c r="B119" t="s">
        <v>262</v>
      </c>
      <c r="C119" t="s">
        <v>258</v>
      </c>
      <c r="D119">
        <v>200</v>
      </c>
      <c r="E119" t="s">
        <v>1404</v>
      </c>
      <c r="F119" s="1">
        <v>41162</v>
      </c>
      <c r="G119">
        <v>9763</v>
      </c>
      <c r="H119">
        <v>6449</v>
      </c>
      <c r="I119" s="1">
        <v>41162</v>
      </c>
      <c r="J119" t="s">
        <v>264</v>
      </c>
      <c r="K119" t="s">
        <v>263</v>
      </c>
      <c r="L119" t="s">
        <v>261</v>
      </c>
      <c r="M119" t="s">
        <v>1351</v>
      </c>
      <c r="N119" t="s">
        <v>20</v>
      </c>
      <c r="O119" t="s">
        <v>1350</v>
      </c>
      <c r="P119" t="s">
        <v>1349</v>
      </c>
      <c r="Q119" t="s">
        <v>1348</v>
      </c>
      <c r="R119" t="s">
        <v>1347</v>
      </c>
      <c r="S119" t="s">
        <v>1346</v>
      </c>
      <c r="T119" t="s">
        <v>1345</v>
      </c>
      <c r="U119" t="s">
        <v>1344</v>
      </c>
      <c r="V119" t="s">
        <v>1343</v>
      </c>
      <c r="W119" t="s">
        <v>1342</v>
      </c>
    </row>
    <row r="120" spans="1:23" x14ac:dyDescent="0.55000000000000004">
      <c r="A120">
        <v>202</v>
      </c>
      <c r="B120" t="s">
        <v>270</v>
      </c>
      <c r="C120" t="s">
        <v>266</v>
      </c>
      <c r="D120">
        <v>200</v>
      </c>
      <c r="E120" t="s">
        <v>1403</v>
      </c>
      <c r="F120" s="1">
        <v>41162</v>
      </c>
      <c r="G120">
        <v>10214</v>
      </c>
      <c r="H120">
        <v>6929</v>
      </c>
      <c r="I120" s="1">
        <v>41162</v>
      </c>
      <c r="J120" t="s">
        <v>272</v>
      </c>
      <c r="K120" t="s">
        <v>271</v>
      </c>
      <c r="L120" t="s">
        <v>269</v>
      </c>
      <c r="M120" t="s">
        <v>1351</v>
      </c>
      <c r="N120" t="s">
        <v>20</v>
      </c>
      <c r="O120" t="s">
        <v>1350</v>
      </c>
      <c r="P120" t="s">
        <v>1349</v>
      </c>
      <c r="Q120" t="s">
        <v>1348</v>
      </c>
      <c r="R120" t="s">
        <v>1347</v>
      </c>
      <c r="S120" t="s">
        <v>1346</v>
      </c>
      <c r="T120" t="s">
        <v>1345</v>
      </c>
      <c r="U120" t="s">
        <v>1344</v>
      </c>
      <c r="V120" t="s">
        <v>1343</v>
      </c>
      <c r="W120" t="s">
        <v>1342</v>
      </c>
    </row>
    <row r="121" spans="1:23" x14ac:dyDescent="0.55000000000000004">
      <c r="A121">
        <v>202</v>
      </c>
      <c r="B121" t="s">
        <v>278</v>
      </c>
      <c r="C121" t="s">
        <v>274</v>
      </c>
      <c r="D121">
        <v>200</v>
      </c>
      <c r="E121" t="s">
        <v>1402</v>
      </c>
      <c r="F121" s="1">
        <v>41162</v>
      </c>
      <c r="G121">
        <v>11059</v>
      </c>
      <c r="H121">
        <v>7489</v>
      </c>
      <c r="I121" s="1">
        <v>41162</v>
      </c>
      <c r="J121" t="s">
        <v>280</v>
      </c>
      <c r="K121" t="s">
        <v>279</v>
      </c>
      <c r="L121" t="s">
        <v>277</v>
      </c>
      <c r="M121" t="s">
        <v>1351</v>
      </c>
      <c r="N121" t="s">
        <v>20</v>
      </c>
      <c r="O121" t="s">
        <v>1350</v>
      </c>
      <c r="P121" t="s">
        <v>1349</v>
      </c>
      <c r="Q121" t="s">
        <v>1348</v>
      </c>
      <c r="R121" t="s">
        <v>1347</v>
      </c>
      <c r="S121" t="s">
        <v>1346</v>
      </c>
      <c r="T121" t="s">
        <v>1345</v>
      </c>
      <c r="U121" t="s">
        <v>1344</v>
      </c>
      <c r="V121" t="s">
        <v>1343</v>
      </c>
      <c r="W121" t="s">
        <v>1342</v>
      </c>
    </row>
    <row r="122" spans="1:23" x14ac:dyDescent="0.55000000000000004">
      <c r="A122">
        <v>202</v>
      </c>
      <c r="B122" t="s">
        <v>286</v>
      </c>
      <c r="C122" t="s">
        <v>282</v>
      </c>
      <c r="D122">
        <v>200</v>
      </c>
      <c r="E122" t="s">
        <v>1401</v>
      </c>
      <c r="F122" s="1">
        <v>41162</v>
      </c>
      <c r="G122">
        <v>10910</v>
      </c>
      <c r="H122">
        <v>7401</v>
      </c>
      <c r="I122" s="1">
        <v>41162</v>
      </c>
      <c r="J122" t="s">
        <v>288</v>
      </c>
      <c r="K122" t="s">
        <v>287</v>
      </c>
      <c r="L122" t="s">
        <v>285</v>
      </c>
      <c r="M122" t="s">
        <v>1351</v>
      </c>
      <c r="N122" t="s">
        <v>20</v>
      </c>
      <c r="O122" t="s">
        <v>1350</v>
      </c>
      <c r="P122" t="s">
        <v>1349</v>
      </c>
      <c r="Q122" t="s">
        <v>1348</v>
      </c>
      <c r="R122" t="s">
        <v>1347</v>
      </c>
      <c r="S122" t="s">
        <v>1346</v>
      </c>
      <c r="T122" t="s">
        <v>1345</v>
      </c>
      <c r="U122" t="s">
        <v>1344</v>
      </c>
      <c r="V122" t="s">
        <v>1343</v>
      </c>
      <c r="W122" t="s">
        <v>1342</v>
      </c>
    </row>
    <row r="123" spans="1:23" x14ac:dyDescent="0.55000000000000004">
      <c r="A123">
        <v>202</v>
      </c>
      <c r="B123" t="s">
        <v>294</v>
      </c>
      <c r="C123" t="s">
        <v>290</v>
      </c>
      <c r="D123">
        <v>200</v>
      </c>
      <c r="E123" t="s">
        <v>1400</v>
      </c>
      <c r="F123" s="1">
        <v>41162</v>
      </c>
      <c r="G123">
        <v>9608</v>
      </c>
      <c r="H123">
        <v>6551</v>
      </c>
      <c r="I123" s="1">
        <v>41162</v>
      </c>
      <c r="J123" t="s">
        <v>296</v>
      </c>
      <c r="K123" t="s">
        <v>295</v>
      </c>
      <c r="L123" t="s">
        <v>293</v>
      </c>
      <c r="M123" t="s">
        <v>1351</v>
      </c>
      <c r="N123" t="s">
        <v>20</v>
      </c>
      <c r="O123" t="s">
        <v>1350</v>
      </c>
      <c r="P123" t="s">
        <v>1349</v>
      </c>
      <c r="Q123" t="s">
        <v>1348</v>
      </c>
      <c r="R123" t="s">
        <v>1347</v>
      </c>
      <c r="S123" t="s">
        <v>1346</v>
      </c>
      <c r="T123" t="s">
        <v>1345</v>
      </c>
      <c r="U123" t="s">
        <v>1344</v>
      </c>
      <c r="V123" t="s">
        <v>1343</v>
      </c>
      <c r="W123" t="s">
        <v>1342</v>
      </c>
    </row>
    <row r="124" spans="1:23" x14ac:dyDescent="0.55000000000000004">
      <c r="A124">
        <v>202</v>
      </c>
      <c r="B124" t="s">
        <v>302</v>
      </c>
      <c r="C124" t="s">
        <v>298</v>
      </c>
      <c r="D124">
        <v>200</v>
      </c>
      <c r="E124" t="s">
        <v>1399</v>
      </c>
      <c r="F124" s="1">
        <v>41162</v>
      </c>
      <c r="G124">
        <v>9705</v>
      </c>
      <c r="H124">
        <v>6640</v>
      </c>
      <c r="I124" s="1">
        <v>41162</v>
      </c>
      <c r="J124" t="s">
        <v>304</v>
      </c>
      <c r="K124" t="s">
        <v>303</v>
      </c>
      <c r="L124" t="s">
        <v>301</v>
      </c>
      <c r="M124" t="s">
        <v>1351</v>
      </c>
      <c r="N124" t="s">
        <v>20</v>
      </c>
      <c r="O124" t="s">
        <v>1350</v>
      </c>
      <c r="P124" t="s">
        <v>1349</v>
      </c>
      <c r="Q124" t="s">
        <v>1348</v>
      </c>
      <c r="R124" t="s">
        <v>1347</v>
      </c>
      <c r="S124" t="s">
        <v>1346</v>
      </c>
      <c r="T124" t="s">
        <v>1345</v>
      </c>
      <c r="U124" t="s">
        <v>1344</v>
      </c>
      <c r="V124" t="s">
        <v>1343</v>
      </c>
      <c r="W124" t="s">
        <v>1342</v>
      </c>
    </row>
    <row r="125" spans="1:23" x14ac:dyDescent="0.55000000000000004">
      <c r="A125">
        <v>202</v>
      </c>
      <c r="B125" t="s">
        <v>310</v>
      </c>
      <c r="C125" t="s">
        <v>306</v>
      </c>
      <c r="D125">
        <v>200</v>
      </c>
      <c r="E125" t="s">
        <v>1398</v>
      </c>
      <c r="F125" s="1">
        <v>41162</v>
      </c>
      <c r="G125">
        <v>8069</v>
      </c>
      <c r="H125">
        <v>5515</v>
      </c>
      <c r="I125" s="1">
        <v>41162</v>
      </c>
      <c r="J125" t="s">
        <v>312</v>
      </c>
      <c r="K125" t="s">
        <v>311</v>
      </c>
      <c r="L125" t="s">
        <v>309</v>
      </c>
      <c r="M125" t="s">
        <v>1351</v>
      </c>
      <c r="N125" t="s">
        <v>20</v>
      </c>
      <c r="O125" t="s">
        <v>1350</v>
      </c>
      <c r="P125" t="s">
        <v>1349</v>
      </c>
      <c r="Q125" t="s">
        <v>1348</v>
      </c>
      <c r="R125" t="s">
        <v>1347</v>
      </c>
      <c r="S125" t="s">
        <v>1346</v>
      </c>
      <c r="T125" t="s">
        <v>1345</v>
      </c>
      <c r="U125" t="s">
        <v>1344</v>
      </c>
      <c r="V125" t="s">
        <v>1343</v>
      </c>
      <c r="W125" t="s">
        <v>1342</v>
      </c>
    </row>
    <row r="126" spans="1:23" x14ac:dyDescent="0.55000000000000004">
      <c r="A126">
        <v>202</v>
      </c>
      <c r="B126" t="s">
        <v>353</v>
      </c>
      <c r="C126" t="s">
        <v>349</v>
      </c>
      <c r="D126">
        <v>200</v>
      </c>
      <c r="E126" t="s">
        <v>1397</v>
      </c>
      <c r="F126" s="1">
        <v>41162</v>
      </c>
      <c r="G126">
        <v>6857</v>
      </c>
      <c r="H126">
        <v>4767</v>
      </c>
      <c r="I126" s="1">
        <v>41162</v>
      </c>
      <c r="J126" t="s">
        <v>355</v>
      </c>
      <c r="K126" t="s">
        <v>354</v>
      </c>
      <c r="L126" t="s">
        <v>352</v>
      </c>
      <c r="M126" t="s">
        <v>1351</v>
      </c>
      <c r="N126" t="s">
        <v>20</v>
      </c>
      <c r="O126" t="s">
        <v>1350</v>
      </c>
      <c r="P126" t="s">
        <v>1349</v>
      </c>
      <c r="Q126" t="s">
        <v>1348</v>
      </c>
      <c r="R126" t="s">
        <v>1347</v>
      </c>
      <c r="S126" t="s">
        <v>1346</v>
      </c>
      <c r="T126" t="s">
        <v>1345</v>
      </c>
      <c r="U126" t="s">
        <v>1344</v>
      </c>
      <c r="V126" t="s">
        <v>1343</v>
      </c>
      <c r="W126" t="s">
        <v>1342</v>
      </c>
    </row>
    <row r="127" spans="1:23" x14ac:dyDescent="0.55000000000000004">
      <c r="A127">
        <v>202</v>
      </c>
      <c r="B127" t="s">
        <v>353</v>
      </c>
      <c r="C127" t="s">
        <v>357</v>
      </c>
      <c r="D127">
        <v>200</v>
      </c>
      <c r="E127" t="s">
        <v>1397</v>
      </c>
      <c r="F127" s="1">
        <v>41162</v>
      </c>
      <c r="G127">
        <v>9114</v>
      </c>
      <c r="H127">
        <v>5966</v>
      </c>
      <c r="I127" s="1">
        <v>41162</v>
      </c>
      <c r="J127" t="s">
        <v>358</v>
      </c>
      <c r="K127" t="s">
        <v>354</v>
      </c>
      <c r="L127" t="s">
        <v>352</v>
      </c>
      <c r="M127" t="s">
        <v>1351</v>
      </c>
      <c r="N127" t="s">
        <v>20</v>
      </c>
      <c r="O127" t="s">
        <v>1350</v>
      </c>
      <c r="P127" t="s">
        <v>1349</v>
      </c>
      <c r="Q127" t="s">
        <v>1348</v>
      </c>
      <c r="R127" t="s">
        <v>1347</v>
      </c>
      <c r="S127" t="s">
        <v>1346</v>
      </c>
      <c r="T127" t="s">
        <v>1345</v>
      </c>
      <c r="U127" t="s">
        <v>1344</v>
      </c>
      <c r="V127" t="s">
        <v>1343</v>
      </c>
      <c r="W127" t="s">
        <v>1342</v>
      </c>
    </row>
    <row r="128" spans="1:23" x14ac:dyDescent="0.55000000000000004">
      <c r="A128">
        <v>202</v>
      </c>
      <c r="B128" t="s">
        <v>364</v>
      </c>
      <c r="C128" t="s">
        <v>360</v>
      </c>
      <c r="D128">
        <v>200</v>
      </c>
      <c r="E128" t="s">
        <v>1396</v>
      </c>
      <c r="F128" s="1">
        <v>41162</v>
      </c>
      <c r="G128">
        <v>4342</v>
      </c>
      <c r="H128">
        <v>3017</v>
      </c>
      <c r="I128" s="1">
        <v>41162</v>
      </c>
      <c r="J128" t="s">
        <v>366</v>
      </c>
      <c r="K128" t="s">
        <v>365</v>
      </c>
      <c r="L128" t="s">
        <v>363</v>
      </c>
      <c r="M128" t="s">
        <v>1351</v>
      </c>
      <c r="N128" t="s">
        <v>20</v>
      </c>
      <c r="O128" t="s">
        <v>1350</v>
      </c>
      <c r="P128" t="s">
        <v>1349</v>
      </c>
      <c r="Q128" t="s">
        <v>1348</v>
      </c>
      <c r="R128" t="s">
        <v>1347</v>
      </c>
      <c r="S128" t="s">
        <v>1346</v>
      </c>
      <c r="T128" t="s">
        <v>1345</v>
      </c>
      <c r="U128" t="s">
        <v>1344</v>
      </c>
      <c r="V128" t="s">
        <v>1343</v>
      </c>
      <c r="W128" t="s">
        <v>1342</v>
      </c>
    </row>
    <row r="129" spans="1:23" x14ac:dyDescent="0.55000000000000004">
      <c r="A129">
        <v>202</v>
      </c>
      <c r="B129" t="s">
        <v>372</v>
      </c>
      <c r="C129" t="s">
        <v>368</v>
      </c>
      <c r="D129">
        <v>200</v>
      </c>
      <c r="E129" t="s">
        <v>1395</v>
      </c>
      <c r="F129" s="1">
        <v>41162</v>
      </c>
      <c r="G129">
        <v>21065</v>
      </c>
      <c r="H129">
        <v>14634</v>
      </c>
      <c r="I129" s="1">
        <v>41162</v>
      </c>
      <c r="J129" t="s">
        <v>374</v>
      </c>
      <c r="K129" t="s">
        <v>373</v>
      </c>
      <c r="L129" t="s">
        <v>371</v>
      </c>
      <c r="M129" t="s">
        <v>1351</v>
      </c>
      <c r="N129" t="s">
        <v>20</v>
      </c>
      <c r="O129" t="s">
        <v>1350</v>
      </c>
      <c r="P129" t="s">
        <v>1349</v>
      </c>
      <c r="Q129" t="s">
        <v>1348</v>
      </c>
      <c r="R129" t="s">
        <v>1347</v>
      </c>
      <c r="S129" t="s">
        <v>1346</v>
      </c>
      <c r="T129" t="s">
        <v>1345</v>
      </c>
      <c r="U129" t="s">
        <v>1344</v>
      </c>
      <c r="V129" t="s">
        <v>1343</v>
      </c>
      <c r="W129" t="s">
        <v>1342</v>
      </c>
    </row>
    <row r="130" spans="1:23" x14ac:dyDescent="0.55000000000000004">
      <c r="A130">
        <v>202</v>
      </c>
      <c r="B130" t="s">
        <v>380</v>
      </c>
      <c r="C130" t="s">
        <v>376</v>
      </c>
      <c r="D130">
        <v>200</v>
      </c>
      <c r="E130" t="s">
        <v>1394</v>
      </c>
      <c r="F130" s="1">
        <v>41162</v>
      </c>
      <c r="G130">
        <v>4939</v>
      </c>
      <c r="H130">
        <v>3445</v>
      </c>
      <c r="I130" s="1">
        <v>41162</v>
      </c>
      <c r="J130" t="s">
        <v>382</v>
      </c>
      <c r="K130" t="s">
        <v>381</v>
      </c>
      <c r="L130" t="s">
        <v>379</v>
      </c>
      <c r="M130" t="s">
        <v>1351</v>
      </c>
      <c r="N130" t="s">
        <v>20</v>
      </c>
      <c r="O130" t="s">
        <v>1350</v>
      </c>
      <c r="P130" t="s">
        <v>1349</v>
      </c>
      <c r="Q130" t="s">
        <v>1348</v>
      </c>
      <c r="R130" t="s">
        <v>1347</v>
      </c>
      <c r="S130" t="s">
        <v>1346</v>
      </c>
      <c r="T130" t="s">
        <v>1345</v>
      </c>
      <c r="U130" t="s">
        <v>1344</v>
      </c>
      <c r="V130" t="s">
        <v>1343</v>
      </c>
      <c r="W130" t="s">
        <v>1342</v>
      </c>
    </row>
    <row r="131" spans="1:23" x14ac:dyDescent="0.55000000000000004">
      <c r="A131">
        <v>202</v>
      </c>
      <c r="B131" t="s">
        <v>388</v>
      </c>
      <c r="C131" t="s">
        <v>384</v>
      </c>
      <c r="D131">
        <v>200</v>
      </c>
      <c r="E131" t="s">
        <v>1393</v>
      </c>
      <c r="F131" s="1">
        <v>41162</v>
      </c>
      <c r="G131">
        <v>7829</v>
      </c>
      <c r="H131">
        <v>5408</v>
      </c>
      <c r="I131" s="1">
        <v>41162</v>
      </c>
      <c r="J131" t="s">
        <v>390</v>
      </c>
      <c r="K131" t="s">
        <v>389</v>
      </c>
      <c r="L131" t="s">
        <v>387</v>
      </c>
      <c r="M131" t="s">
        <v>1351</v>
      </c>
      <c r="N131" t="s">
        <v>20</v>
      </c>
      <c r="O131" t="s">
        <v>1350</v>
      </c>
      <c r="P131" t="s">
        <v>1349</v>
      </c>
      <c r="Q131" t="s">
        <v>1348</v>
      </c>
      <c r="R131" t="s">
        <v>1347</v>
      </c>
      <c r="S131" t="s">
        <v>1346</v>
      </c>
      <c r="T131" t="s">
        <v>1345</v>
      </c>
      <c r="U131" t="s">
        <v>1344</v>
      </c>
      <c r="V131" t="s">
        <v>1343</v>
      </c>
      <c r="W131" t="s">
        <v>1342</v>
      </c>
    </row>
    <row r="132" spans="1:23" x14ac:dyDescent="0.55000000000000004">
      <c r="A132">
        <v>202</v>
      </c>
      <c r="B132" t="s">
        <v>396</v>
      </c>
      <c r="C132" t="s">
        <v>392</v>
      </c>
      <c r="D132">
        <v>200</v>
      </c>
      <c r="E132" t="s">
        <v>1392</v>
      </c>
      <c r="F132" s="1">
        <v>41162</v>
      </c>
      <c r="G132">
        <v>16612</v>
      </c>
      <c r="H132">
        <v>11485</v>
      </c>
      <c r="I132" s="1">
        <v>41162</v>
      </c>
      <c r="J132" t="s">
        <v>398</v>
      </c>
      <c r="K132" t="s">
        <v>397</v>
      </c>
      <c r="L132" t="s">
        <v>395</v>
      </c>
      <c r="M132" t="s">
        <v>1351</v>
      </c>
      <c r="N132" t="s">
        <v>20</v>
      </c>
      <c r="O132" t="s">
        <v>1350</v>
      </c>
      <c r="P132" t="s">
        <v>1349</v>
      </c>
      <c r="Q132" t="s">
        <v>1348</v>
      </c>
      <c r="R132" t="s">
        <v>1347</v>
      </c>
      <c r="S132" t="s">
        <v>1346</v>
      </c>
      <c r="T132" t="s">
        <v>1345</v>
      </c>
      <c r="U132" t="s">
        <v>1344</v>
      </c>
      <c r="V132" t="s">
        <v>1343</v>
      </c>
      <c r="W132" t="s">
        <v>1342</v>
      </c>
    </row>
    <row r="133" spans="1:23" x14ac:dyDescent="0.55000000000000004">
      <c r="A133">
        <v>202</v>
      </c>
      <c r="B133" t="s">
        <v>404</v>
      </c>
      <c r="C133" t="s">
        <v>400</v>
      </c>
      <c r="D133">
        <v>200</v>
      </c>
      <c r="E133" t="s">
        <v>1391</v>
      </c>
      <c r="F133" s="1">
        <v>41162</v>
      </c>
      <c r="G133">
        <v>7670</v>
      </c>
      <c r="H133">
        <v>5320</v>
      </c>
      <c r="I133" s="1">
        <v>41162</v>
      </c>
      <c r="J133" t="s">
        <v>406</v>
      </c>
      <c r="K133" t="s">
        <v>405</v>
      </c>
      <c r="L133" t="s">
        <v>403</v>
      </c>
      <c r="M133" t="s">
        <v>1351</v>
      </c>
      <c r="N133" t="s">
        <v>20</v>
      </c>
      <c r="O133" t="s">
        <v>1350</v>
      </c>
      <c r="P133" t="s">
        <v>1349</v>
      </c>
      <c r="Q133" t="s">
        <v>1348</v>
      </c>
      <c r="R133" t="s">
        <v>1347</v>
      </c>
      <c r="S133" t="s">
        <v>1346</v>
      </c>
      <c r="T133" t="s">
        <v>1345</v>
      </c>
      <c r="U133" t="s">
        <v>1344</v>
      </c>
      <c r="V133" t="s">
        <v>1343</v>
      </c>
      <c r="W133" t="s">
        <v>1342</v>
      </c>
    </row>
    <row r="134" spans="1:23" x14ac:dyDescent="0.55000000000000004">
      <c r="A134">
        <v>202</v>
      </c>
      <c r="B134" t="s">
        <v>412</v>
      </c>
      <c r="C134" t="s">
        <v>408</v>
      </c>
      <c r="D134">
        <v>200</v>
      </c>
      <c r="E134" t="s">
        <v>1390</v>
      </c>
      <c r="F134" s="1">
        <v>41162</v>
      </c>
      <c r="G134">
        <v>6782</v>
      </c>
      <c r="H134">
        <v>4723</v>
      </c>
      <c r="I134" s="1">
        <v>41162</v>
      </c>
      <c r="J134" t="s">
        <v>414</v>
      </c>
      <c r="K134" t="s">
        <v>413</v>
      </c>
      <c r="L134" t="s">
        <v>411</v>
      </c>
      <c r="M134" t="s">
        <v>1351</v>
      </c>
      <c r="N134" t="s">
        <v>20</v>
      </c>
      <c r="O134" t="s">
        <v>1350</v>
      </c>
      <c r="P134" t="s">
        <v>1349</v>
      </c>
      <c r="Q134" t="s">
        <v>1348</v>
      </c>
      <c r="R134" t="s">
        <v>1347</v>
      </c>
      <c r="S134" t="s">
        <v>1346</v>
      </c>
      <c r="T134" t="s">
        <v>1345</v>
      </c>
      <c r="U134" t="s">
        <v>1344</v>
      </c>
      <c r="V134" t="s">
        <v>1343</v>
      </c>
      <c r="W134" t="s">
        <v>1342</v>
      </c>
    </row>
    <row r="135" spans="1:23" x14ac:dyDescent="0.55000000000000004">
      <c r="A135">
        <v>202</v>
      </c>
      <c r="B135" t="s">
        <v>420</v>
      </c>
      <c r="C135" t="s">
        <v>416</v>
      </c>
      <c r="D135">
        <v>200</v>
      </c>
      <c r="E135" t="s">
        <v>1389</v>
      </c>
      <c r="F135" s="1">
        <v>41162</v>
      </c>
      <c r="G135">
        <v>10632</v>
      </c>
      <c r="H135">
        <v>7528</v>
      </c>
      <c r="I135" s="1">
        <v>41162</v>
      </c>
      <c r="J135" t="s">
        <v>422</v>
      </c>
      <c r="K135" t="s">
        <v>421</v>
      </c>
      <c r="L135" t="s">
        <v>419</v>
      </c>
      <c r="M135" t="s">
        <v>1351</v>
      </c>
      <c r="N135" t="s">
        <v>20</v>
      </c>
      <c r="O135" t="s">
        <v>1350</v>
      </c>
      <c r="P135" t="s">
        <v>1349</v>
      </c>
      <c r="Q135" t="s">
        <v>1348</v>
      </c>
      <c r="R135" t="s">
        <v>1347</v>
      </c>
      <c r="S135" t="s">
        <v>1346</v>
      </c>
      <c r="T135" t="s">
        <v>1345</v>
      </c>
      <c r="U135" t="s">
        <v>1344</v>
      </c>
      <c r="V135" t="s">
        <v>1343</v>
      </c>
      <c r="W135" t="s">
        <v>1342</v>
      </c>
    </row>
    <row r="136" spans="1:23" x14ac:dyDescent="0.55000000000000004">
      <c r="A136">
        <v>202</v>
      </c>
      <c r="B136" t="s">
        <v>428</v>
      </c>
      <c r="C136" t="s">
        <v>424</v>
      </c>
      <c r="D136">
        <v>200</v>
      </c>
      <c r="E136" t="s">
        <v>1388</v>
      </c>
      <c r="F136" s="1">
        <v>41162</v>
      </c>
      <c r="G136">
        <v>2107</v>
      </c>
      <c r="H136">
        <v>1510</v>
      </c>
      <c r="I136" s="1">
        <v>41162</v>
      </c>
      <c r="J136" t="s">
        <v>430</v>
      </c>
      <c r="K136" t="s">
        <v>429</v>
      </c>
      <c r="L136" t="s">
        <v>427</v>
      </c>
      <c r="M136" t="s">
        <v>1351</v>
      </c>
      <c r="N136" t="s">
        <v>20</v>
      </c>
      <c r="O136" t="s">
        <v>1350</v>
      </c>
      <c r="P136" t="s">
        <v>1349</v>
      </c>
      <c r="Q136" t="s">
        <v>1348</v>
      </c>
      <c r="R136" t="s">
        <v>1347</v>
      </c>
      <c r="S136" t="s">
        <v>1346</v>
      </c>
      <c r="T136" t="s">
        <v>1345</v>
      </c>
      <c r="U136" t="s">
        <v>1344</v>
      </c>
      <c r="V136" t="s">
        <v>1343</v>
      </c>
      <c r="W136" t="s">
        <v>1342</v>
      </c>
    </row>
    <row r="137" spans="1:23" x14ac:dyDescent="0.55000000000000004">
      <c r="A137">
        <v>202</v>
      </c>
      <c r="B137" t="s">
        <v>428</v>
      </c>
      <c r="C137" t="s">
        <v>432</v>
      </c>
      <c r="D137">
        <v>200</v>
      </c>
      <c r="E137" t="s">
        <v>1388</v>
      </c>
      <c r="F137" s="1">
        <v>41162</v>
      </c>
      <c r="G137">
        <v>6590</v>
      </c>
      <c r="H137">
        <v>4467</v>
      </c>
      <c r="I137" s="1">
        <v>41162</v>
      </c>
      <c r="J137" t="s">
        <v>433</v>
      </c>
      <c r="K137" t="s">
        <v>429</v>
      </c>
      <c r="L137" t="s">
        <v>427</v>
      </c>
      <c r="M137" t="s">
        <v>1351</v>
      </c>
      <c r="N137" t="s">
        <v>20</v>
      </c>
      <c r="O137" t="s">
        <v>1350</v>
      </c>
      <c r="P137" t="s">
        <v>1349</v>
      </c>
      <c r="Q137" t="s">
        <v>1348</v>
      </c>
      <c r="R137" t="s">
        <v>1347</v>
      </c>
      <c r="S137" t="s">
        <v>1346</v>
      </c>
      <c r="T137" t="s">
        <v>1345</v>
      </c>
      <c r="U137" t="s">
        <v>1344</v>
      </c>
      <c r="V137" t="s">
        <v>1343</v>
      </c>
      <c r="W137" t="s">
        <v>1342</v>
      </c>
    </row>
    <row r="138" spans="1:23" x14ac:dyDescent="0.55000000000000004">
      <c r="A138">
        <v>202</v>
      </c>
      <c r="B138" t="s">
        <v>439</v>
      </c>
      <c r="C138" t="s">
        <v>435</v>
      </c>
      <c r="D138">
        <v>200</v>
      </c>
      <c r="E138" t="s">
        <v>1387</v>
      </c>
      <c r="F138" s="1">
        <v>41162</v>
      </c>
      <c r="G138">
        <v>3101</v>
      </c>
      <c r="H138">
        <v>2227</v>
      </c>
      <c r="I138" s="1">
        <v>41162</v>
      </c>
      <c r="J138" t="s">
        <v>441</v>
      </c>
      <c r="K138" t="s">
        <v>440</v>
      </c>
      <c r="L138" t="s">
        <v>438</v>
      </c>
      <c r="M138" t="s">
        <v>1351</v>
      </c>
      <c r="N138" t="s">
        <v>20</v>
      </c>
      <c r="O138" t="s">
        <v>1350</v>
      </c>
      <c r="P138" t="s">
        <v>1349</v>
      </c>
      <c r="Q138" t="s">
        <v>1348</v>
      </c>
      <c r="R138" t="s">
        <v>1347</v>
      </c>
      <c r="S138" t="s">
        <v>1346</v>
      </c>
      <c r="T138" t="s">
        <v>1345</v>
      </c>
      <c r="U138" t="s">
        <v>1344</v>
      </c>
      <c r="V138" t="s">
        <v>1343</v>
      </c>
      <c r="W138" t="s">
        <v>1342</v>
      </c>
    </row>
    <row r="139" spans="1:23" x14ac:dyDescent="0.55000000000000004">
      <c r="A139">
        <v>202</v>
      </c>
      <c r="B139" t="s">
        <v>439</v>
      </c>
      <c r="C139" t="s">
        <v>443</v>
      </c>
      <c r="D139">
        <v>200</v>
      </c>
      <c r="E139" t="s">
        <v>1387</v>
      </c>
      <c r="F139" s="1">
        <v>41162</v>
      </c>
      <c r="G139">
        <v>6980</v>
      </c>
      <c r="H139">
        <v>4723</v>
      </c>
      <c r="I139" s="1">
        <v>41162</v>
      </c>
      <c r="J139" t="s">
        <v>444</v>
      </c>
      <c r="K139" t="s">
        <v>440</v>
      </c>
      <c r="L139" t="s">
        <v>438</v>
      </c>
      <c r="M139" t="s">
        <v>1351</v>
      </c>
      <c r="N139" t="s">
        <v>20</v>
      </c>
      <c r="O139" t="s">
        <v>1350</v>
      </c>
      <c r="P139" t="s">
        <v>1349</v>
      </c>
      <c r="Q139" t="s">
        <v>1348</v>
      </c>
      <c r="R139" t="s">
        <v>1347</v>
      </c>
      <c r="S139" t="s">
        <v>1346</v>
      </c>
      <c r="T139" t="s">
        <v>1345</v>
      </c>
      <c r="U139" t="s">
        <v>1344</v>
      </c>
      <c r="V139" t="s">
        <v>1343</v>
      </c>
      <c r="W139" t="s">
        <v>1342</v>
      </c>
    </row>
    <row r="140" spans="1:23" x14ac:dyDescent="0.55000000000000004">
      <c r="A140">
        <v>202</v>
      </c>
      <c r="B140" t="s">
        <v>450</v>
      </c>
      <c r="C140" t="s">
        <v>446</v>
      </c>
      <c r="D140">
        <v>200</v>
      </c>
      <c r="E140" t="s">
        <v>1386</v>
      </c>
      <c r="F140" s="1">
        <v>41162</v>
      </c>
      <c r="G140">
        <v>18509</v>
      </c>
      <c r="H140">
        <v>13092</v>
      </c>
      <c r="I140" s="1">
        <v>41162</v>
      </c>
      <c r="J140" t="s">
        <v>452</v>
      </c>
      <c r="K140" t="s">
        <v>451</v>
      </c>
      <c r="L140" t="s">
        <v>449</v>
      </c>
      <c r="M140" t="s">
        <v>1351</v>
      </c>
      <c r="N140" t="s">
        <v>20</v>
      </c>
      <c r="O140" t="s">
        <v>1350</v>
      </c>
      <c r="P140" t="s">
        <v>1349</v>
      </c>
      <c r="Q140" t="s">
        <v>1348</v>
      </c>
      <c r="R140" t="s">
        <v>1347</v>
      </c>
      <c r="S140" t="s">
        <v>1346</v>
      </c>
      <c r="T140" t="s">
        <v>1345</v>
      </c>
      <c r="U140" t="s">
        <v>1344</v>
      </c>
      <c r="V140" t="s">
        <v>1343</v>
      </c>
      <c r="W140" t="s">
        <v>1342</v>
      </c>
    </row>
    <row r="141" spans="1:23" x14ac:dyDescent="0.55000000000000004">
      <c r="A141">
        <v>202</v>
      </c>
      <c r="B141" t="s">
        <v>458</v>
      </c>
      <c r="C141" t="s">
        <v>454</v>
      </c>
      <c r="D141">
        <v>200</v>
      </c>
      <c r="E141" t="s">
        <v>1385</v>
      </c>
      <c r="F141" s="1">
        <v>41162</v>
      </c>
      <c r="G141">
        <v>11638</v>
      </c>
      <c r="H141">
        <v>8258</v>
      </c>
      <c r="I141" s="1">
        <v>41162</v>
      </c>
      <c r="J141" t="s">
        <v>460</v>
      </c>
      <c r="K141" t="s">
        <v>459</v>
      </c>
      <c r="L141" t="s">
        <v>457</v>
      </c>
      <c r="M141" t="s">
        <v>1351</v>
      </c>
      <c r="N141" t="s">
        <v>20</v>
      </c>
      <c r="O141" t="s">
        <v>1350</v>
      </c>
      <c r="P141" t="s">
        <v>1349</v>
      </c>
      <c r="Q141" t="s">
        <v>1348</v>
      </c>
      <c r="R141" t="s">
        <v>1347</v>
      </c>
      <c r="S141" t="s">
        <v>1346</v>
      </c>
      <c r="T141" t="s">
        <v>1345</v>
      </c>
      <c r="U141" t="s">
        <v>1344</v>
      </c>
      <c r="V141" t="s">
        <v>1343</v>
      </c>
      <c r="W141" t="s">
        <v>1342</v>
      </c>
    </row>
    <row r="142" spans="1:23" x14ac:dyDescent="0.55000000000000004">
      <c r="A142">
        <v>202</v>
      </c>
      <c r="B142" t="s">
        <v>466</v>
      </c>
      <c r="C142" t="s">
        <v>462</v>
      </c>
      <c r="D142">
        <v>200</v>
      </c>
      <c r="E142" t="s">
        <v>1384</v>
      </c>
      <c r="F142" s="1">
        <v>41162</v>
      </c>
      <c r="G142">
        <v>11108</v>
      </c>
      <c r="H142">
        <v>7848</v>
      </c>
      <c r="I142" s="1">
        <v>41162</v>
      </c>
      <c r="J142" t="s">
        <v>468</v>
      </c>
      <c r="K142" t="s">
        <v>467</v>
      </c>
      <c r="L142" t="s">
        <v>465</v>
      </c>
      <c r="M142" t="s">
        <v>1351</v>
      </c>
      <c r="N142" t="s">
        <v>20</v>
      </c>
      <c r="O142" t="s">
        <v>1350</v>
      </c>
      <c r="P142" t="s">
        <v>1349</v>
      </c>
      <c r="Q142" t="s">
        <v>1348</v>
      </c>
      <c r="R142" t="s">
        <v>1347</v>
      </c>
      <c r="S142" t="s">
        <v>1346</v>
      </c>
      <c r="T142" t="s">
        <v>1345</v>
      </c>
      <c r="U142" t="s">
        <v>1344</v>
      </c>
      <c r="V142" t="s">
        <v>1343</v>
      </c>
      <c r="W142" t="s">
        <v>1342</v>
      </c>
    </row>
    <row r="143" spans="1:23" x14ac:dyDescent="0.55000000000000004">
      <c r="A143">
        <v>202</v>
      </c>
      <c r="B143" t="s">
        <v>474</v>
      </c>
      <c r="C143" t="s">
        <v>470</v>
      </c>
      <c r="D143">
        <v>200</v>
      </c>
      <c r="E143" t="s">
        <v>1383</v>
      </c>
      <c r="F143" s="1">
        <v>41162</v>
      </c>
      <c r="G143">
        <v>12301</v>
      </c>
      <c r="H143">
        <v>8664</v>
      </c>
      <c r="I143" s="1">
        <v>41162</v>
      </c>
      <c r="J143" t="s">
        <v>476</v>
      </c>
      <c r="K143" t="s">
        <v>475</v>
      </c>
      <c r="L143" t="s">
        <v>473</v>
      </c>
      <c r="M143" t="s">
        <v>1351</v>
      </c>
      <c r="N143" t="s">
        <v>20</v>
      </c>
      <c r="O143" t="s">
        <v>1350</v>
      </c>
      <c r="P143" t="s">
        <v>1349</v>
      </c>
      <c r="Q143" t="s">
        <v>1348</v>
      </c>
      <c r="R143" t="s">
        <v>1347</v>
      </c>
      <c r="S143" t="s">
        <v>1346</v>
      </c>
      <c r="T143" t="s">
        <v>1345</v>
      </c>
      <c r="U143" t="s">
        <v>1344</v>
      </c>
      <c r="V143" t="s">
        <v>1343</v>
      </c>
      <c r="W143" t="s">
        <v>1342</v>
      </c>
    </row>
    <row r="144" spans="1:23" x14ac:dyDescent="0.55000000000000004">
      <c r="A144">
        <v>202</v>
      </c>
      <c r="B144" t="s">
        <v>482</v>
      </c>
      <c r="C144" t="s">
        <v>478</v>
      </c>
      <c r="D144">
        <v>200</v>
      </c>
      <c r="E144" t="s">
        <v>1382</v>
      </c>
      <c r="F144" s="1">
        <v>41162</v>
      </c>
      <c r="G144">
        <v>10063</v>
      </c>
      <c r="H144">
        <v>7102</v>
      </c>
      <c r="I144" s="1">
        <v>41162</v>
      </c>
      <c r="J144" t="s">
        <v>484</v>
      </c>
      <c r="K144" t="s">
        <v>483</v>
      </c>
      <c r="L144" t="s">
        <v>481</v>
      </c>
      <c r="M144" t="s">
        <v>1351</v>
      </c>
      <c r="N144" t="s">
        <v>20</v>
      </c>
      <c r="O144" t="s">
        <v>1350</v>
      </c>
      <c r="P144" t="s">
        <v>1349</v>
      </c>
      <c r="Q144" t="s">
        <v>1348</v>
      </c>
      <c r="R144" t="s">
        <v>1347</v>
      </c>
      <c r="S144" t="s">
        <v>1346</v>
      </c>
      <c r="T144" t="s">
        <v>1345</v>
      </c>
      <c r="U144" t="s">
        <v>1344</v>
      </c>
      <c r="V144" t="s">
        <v>1343</v>
      </c>
      <c r="W144" t="s">
        <v>1342</v>
      </c>
    </row>
    <row r="145" spans="1:23" x14ac:dyDescent="0.55000000000000004">
      <c r="A145">
        <v>202</v>
      </c>
      <c r="B145" t="s">
        <v>490</v>
      </c>
      <c r="C145" t="s">
        <v>486</v>
      </c>
      <c r="D145">
        <v>200</v>
      </c>
      <c r="E145" t="s">
        <v>1381</v>
      </c>
      <c r="F145" s="1">
        <v>41162</v>
      </c>
      <c r="G145">
        <v>10653</v>
      </c>
      <c r="H145">
        <v>7478</v>
      </c>
      <c r="I145" s="1">
        <v>41162</v>
      </c>
      <c r="J145" t="s">
        <v>492</v>
      </c>
      <c r="K145" t="s">
        <v>491</v>
      </c>
      <c r="L145" t="s">
        <v>489</v>
      </c>
      <c r="M145" t="s">
        <v>1351</v>
      </c>
      <c r="N145" t="s">
        <v>20</v>
      </c>
      <c r="O145" t="s">
        <v>1350</v>
      </c>
      <c r="P145" t="s">
        <v>1349</v>
      </c>
      <c r="Q145" t="s">
        <v>1348</v>
      </c>
      <c r="R145" t="s">
        <v>1347</v>
      </c>
      <c r="S145" t="s">
        <v>1346</v>
      </c>
      <c r="T145" t="s">
        <v>1345</v>
      </c>
      <c r="U145" t="s">
        <v>1344</v>
      </c>
      <c r="V145" t="s">
        <v>1343</v>
      </c>
      <c r="W145" t="s">
        <v>1342</v>
      </c>
    </row>
    <row r="146" spans="1:23" x14ac:dyDescent="0.55000000000000004">
      <c r="A146">
        <v>202</v>
      </c>
      <c r="B146" t="s">
        <v>498</v>
      </c>
      <c r="C146" t="s">
        <v>494</v>
      </c>
      <c r="D146">
        <v>200</v>
      </c>
      <c r="E146" t="s">
        <v>1380</v>
      </c>
      <c r="F146" s="1">
        <v>41162</v>
      </c>
      <c r="G146">
        <v>12548</v>
      </c>
      <c r="H146">
        <v>8848</v>
      </c>
      <c r="I146" s="1">
        <v>41162</v>
      </c>
      <c r="J146" t="s">
        <v>500</v>
      </c>
      <c r="K146" t="s">
        <v>499</v>
      </c>
      <c r="L146" t="s">
        <v>497</v>
      </c>
      <c r="M146" t="s">
        <v>1351</v>
      </c>
      <c r="N146" t="s">
        <v>20</v>
      </c>
      <c r="O146" t="s">
        <v>1350</v>
      </c>
      <c r="P146" t="s">
        <v>1349</v>
      </c>
      <c r="Q146" t="s">
        <v>1348</v>
      </c>
      <c r="R146" t="s">
        <v>1347</v>
      </c>
      <c r="S146" t="s">
        <v>1346</v>
      </c>
      <c r="T146" t="s">
        <v>1345</v>
      </c>
      <c r="U146" t="s">
        <v>1344</v>
      </c>
      <c r="V146" t="s">
        <v>1343</v>
      </c>
      <c r="W146" t="s">
        <v>1342</v>
      </c>
    </row>
    <row r="147" spans="1:23" x14ac:dyDescent="0.55000000000000004">
      <c r="A147">
        <v>202</v>
      </c>
      <c r="B147" t="s">
        <v>506</v>
      </c>
      <c r="C147" t="s">
        <v>502</v>
      </c>
      <c r="D147">
        <v>200</v>
      </c>
      <c r="E147" t="s">
        <v>1379</v>
      </c>
      <c r="F147" s="1">
        <v>41162</v>
      </c>
      <c r="G147">
        <v>11917</v>
      </c>
      <c r="H147">
        <v>8398</v>
      </c>
      <c r="I147" s="1">
        <v>41162</v>
      </c>
      <c r="J147" t="s">
        <v>508</v>
      </c>
      <c r="K147" t="s">
        <v>507</v>
      </c>
      <c r="L147" t="s">
        <v>505</v>
      </c>
      <c r="M147" t="s">
        <v>1351</v>
      </c>
      <c r="N147" t="s">
        <v>20</v>
      </c>
      <c r="O147" t="s">
        <v>1350</v>
      </c>
      <c r="P147" t="s">
        <v>1349</v>
      </c>
      <c r="Q147" t="s">
        <v>1348</v>
      </c>
      <c r="R147" t="s">
        <v>1347</v>
      </c>
      <c r="S147" t="s">
        <v>1346</v>
      </c>
      <c r="T147" t="s">
        <v>1345</v>
      </c>
      <c r="U147" t="s">
        <v>1344</v>
      </c>
      <c r="V147" t="s">
        <v>1343</v>
      </c>
      <c r="W147" t="s">
        <v>1342</v>
      </c>
    </row>
    <row r="148" spans="1:23" x14ac:dyDescent="0.55000000000000004">
      <c r="A148">
        <v>202</v>
      </c>
      <c r="B148" t="s">
        <v>514</v>
      </c>
      <c r="C148" t="s">
        <v>510</v>
      </c>
      <c r="D148">
        <v>200</v>
      </c>
      <c r="E148" t="s">
        <v>1378</v>
      </c>
      <c r="F148" s="1">
        <v>41162</v>
      </c>
      <c r="G148">
        <v>11697</v>
      </c>
      <c r="H148">
        <v>8246</v>
      </c>
      <c r="I148" s="1">
        <v>41162</v>
      </c>
      <c r="J148" t="s">
        <v>516</v>
      </c>
      <c r="K148" t="s">
        <v>515</v>
      </c>
      <c r="L148" t="s">
        <v>513</v>
      </c>
      <c r="M148" t="s">
        <v>1351</v>
      </c>
      <c r="N148" t="s">
        <v>20</v>
      </c>
      <c r="O148" t="s">
        <v>1350</v>
      </c>
      <c r="P148" t="s">
        <v>1349</v>
      </c>
      <c r="Q148" t="s">
        <v>1348</v>
      </c>
      <c r="R148" t="s">
        <v>1347</v>
      </c>
      <c r="S148" t="s">
        <v>1346</v>
      </c>
      <c r="T148" t="s">
        <v>1345</v>
      </c>
      <c r="U148" t="s">
        <v>1344</v>
      </c>
      <c r="V148" t="s">
        <v>1343</v>
      </c>
      <c r="W148" t="s">
        <v>1342</v>
      </c>
    </row>
    <row r="149" spans="1:23" x14ac:dyDescent="0.55000000000000004">
      <c r="A149">
        <v>202</v>
      </c>
      <c r="B149" t="s">
        <v>522</v>
      </c>
      <c r="C149" t="s">
        <v>518</v>
      </c>
      <c r="D149">
        <v>200</v>
      </c>
      <c r="E149" t="s">
        <v>1377</v>
      </c>
      <c r="F149" s="1">
        <v>41162</v>
      </c>
      <c r="G149">
        <v>11097</v>
      </c>
      <c r="H149">
        <v>7798</v>
      </c>
      <c r="I149" s="1">
        <v>41162</v>
      </c>
      <c r="J149" t="s">
        <v>524</v>
      </c>
      <c r="K149" t="s">
        <v>523</v>
      </c>
      <c r="L149" t="s">
        <v>521</v>
      </c>
      <c r="M149" t="s">
        <v>1351</v>
      </c>
      <c r="N149" t="s">
        <v>20</v>
      </c>
      <c r="O149" t="s">
        <v>1350</v>
      </c>
      <c r="P149" t="s">
        <v>1349</v>
      </c>
      <c r="Q149" t="s">
        <v>1348</v>
      </c>
      <c r="R149" t="s">
        <v>1347</v>
      </c>
      <c r="S149" t="s">
        <v>1346</v>
      </c>
      <c r="T149" t="s">
        <v>1345</v>
      </c>
      <c r="U149" t="s">
        <v>1344</v>
      </c>
      <c r="V149" t="s">
        <v>1343</v>
      </c>
      <c r="W149" t="s">
        <v>1342</v>
      </c>
    </row>
    <row r="150" spans="1:23" x14ac:dyDescent="0.55000000000000004">
      <c r="A150">
        <v>202</v>
      </c>
      <c r="B150" t="s">
        <v>530</v>
      </c>
      <c r="C150" t="s">
        <v>526</v>
      </c>
      <c r="D150">
        <v>200</v>
      </c>
      <c r="E150" t="s">
        <v>1376</v>
      </c>
      <c r="F150" s="1">
        <v>41162</v>
      </c>
      <c r="G150">
        <v>10582</v>
      </c>
      <c r="H150">
        <v>7298</v>
      </c>
      <c r="I150" s="1">
        <v>41162</v>
      </c>
      <c r="J150" t="s">
        <v>532</v>
      </c>
      <c r="K150" t="s">
        <v>531</v>
      </c>
      <c r="L150" t="s">
        <v>529</v>
      </c>
      <c r="M150" t="s">
        <v>1351</v>
      </c>
      <c r="N150" t="s">
        <v>20</v>
      </c>
      <c r="O150" t="s">
        <v>1350</v>
      </c>
      <c r="P150" t="s">
        <v>1349</v>
      </c>
      <c r="Q150" t="s">
        <v>1348</v>
      </c>
      <c r="R150" t="s">
        <v>1347</v>
      </c>
      <c r="S150" t="s">
        <v>1346</v>
      </c>
      <c r="T150" t="s">
        <v>1345</v>
      </c>
      <c r="U150" t="s">
        <v>1344</v>
      </c>
      <c r="V150" t="s">
        <v>1343</v>
      </c>
      <c r="W150" t="s">
        <v>1342</v>
      </c>
    </row>
    <row r="151" spans="1:23" x14ac:dyDescent="0.55000000000000004">
      <c r="A151">
        <v>202</v>
      </c>
      <c r="B151" t="s">
        <v>538</v>
      </c>
      <c r="C151" t="s">
        <v>534</v>
      </c>
      <c r="D151">
        <v>200</v>
      </c>
      <c r="E151" t="s">
        <v>1375</v>
      </c>
      <c r="F151" s="1">
        <v>41162</v>
      </c>
      <c r="G151">
        <v>12197</v>
      </c>
      <c r="H151">
        <v>8426</v>
      </c>
      <c r="I151" s="1">
        <v>41162</v>
      </c>
      <c r="J151" t="s">
        <v>540</v>
      </c>
      <c r="K151" t="s">
        <v>539</v>
      </c>
      <c r="L151" t="s">
        <v>537</v>
      </c>
      <c r="M151" t="s">
        <v>1351</v>
      </c>
      <c r="N151" t="s">
        <v>20</v>
      </c>
      <c r="O151" t="s">
        <v>1350</v>
      </c>
      <c r="P151" t="s">
        <v>1349</v>
      </c>
      <c r="Q151" t="s">
        <v>1348</v>
      </c>
      <c r="R151" t="s">
        <v>1347</v>
      </c>
      <c r="S151" t="s">
        <v>1346</v>
      </c>
      <c r="T151" t="s">
        <v>1345</v>
      </c>
      <c r="U151" t="s">
        <v>1344</v>
      </c>
      <c r="V151" t="s">
        <v>1343</v>
      </c>
      <c r="W151" t="s">
        <v>1342</v>
      </c>
    </row>
    <row r="152" spans="1:23" x14ac:dyDescent="0.55000000000000004">
      <c r="A152">
        <v>202</v>
      </c>
      <c r="B152" t="s">
        <v>546</v>
      </c>
      <c r="C152" t="s">
        <v>542</v>
      </c>
      <c r="D152">
        <v>200</v>
      </c>
      <c r="E152" t="s">
        <v>1374</v>
      </c>
      <c r="F152" s="1">
        <v>41162</v>
      </c>
      <c r="G152">
        <v>10734</v>
      </c>
      <c r="H152">
        <v>7464</v>
      </c>
      <c r="I152" s="1">
        <v>41162</v>
      </c>
      <c r="J152" t="s">
        <v>548</v>
      </c>
      <c r="K152" t="s">
        <v>547</v>
      </c>
      <c r="L152" t="s">
        <v>545</v>
      </c>
      <c r="M152" t="s">
        <v>1351</v>
      </c>
      <c r="N152" t="s">
        <v>20</v>
      </c>
      <c r="O152" t="s">
        <v>1350</v>
      </c>
      <c r="P152" t="s">
        <v>1349</v>
      </c>
      <c r="Q152" t="s">
        <v>1348</v>
      </c>
      <c r="R152" t="s">
        <v>1347</v>
      </c>
      <c r="S152" t="s">
        <v>1346</v>
      </c>
      <c r="T152" t="s">
        <v>1345</v>
      </c>
      <c r="U152" t="s">
        <v>1344</v>
      </c>
      <c r="V152" t="s">
        <v>1343</v>
      </c>
      <c r="W152" t="s">
        <v>1342</v>
      </c>
    </row>
    <row r="153" spans="1:23" x14ac:dyDescent="0.55000000000000004">
      <c r="A153">
        <v>202</v>
      </c>
      <c r="B153" t="s">
        <v>554</v>
      </c>
      <c r="C153" t="s">
        <v>550</v>
      </c>
      <c r="D153">
        <v>200</v>
      </c>
      <c r="E153" t="s">
        <v>1373</v>
      </c>
      <c r="F153" s="1">
        <v>41162</v>
      </c>
      <c r="G153">
        <v>12931</v>
      </c>
      <c r="H153">
        <v>8940</v>
      </c>
      <c r="I153" s="1">
        <v>41162</v>
      </c>
      <c r="J153" t="s">
        <v>556</v>
      </c>
      <c r="K153" t="s">
        <v>555</v>
      </c>
      <c r="L153" t="s">
        <v>553</v>
      </c>
      <c r="M153" t="s">
        <v>1351</v>
      </c>
      <c r="N153" t="s">
        <v>20</v>
      </c>
      <c r="O153" t="s">
        <v>1350</v>
      </c>
      <c r="P153" t="s">
        <v>1349</v>
      </c>
      <c r="Q153" t="s">
        <v>1348</v>
      </c>
      <c r="R153" t="s">
        <v>1347</v>
      </c>
      <c r="S153" t="s">
        <v>1346</v>
      </c>
      <c r="T153" t="s">
        <v>1345</v>
      </c>
      <c r="U153" t="s">
        <v>1344</v>
      </c>
      <c r="V153" t="s">
        <v>1343</v>
      </c>
      <c r="W153" t="s">
        <v>1342</v>
      </c>
    </row>
    <row r="154" spans="1:23" x14ac:dyDescent="0.55000000000000004">
      <c r="A154">
        <v>202</v>
      </c>
      <c r="B154" t="s">
        <v>562</v>
      </c>
      <c r="C154" t="s">
        <v>558</v>
      </c>
      <c r="D154">
        <v>200</v>
      </c>
      <c r="E154" t="s">
        <v>1372</v>
      </c>
      <c r="F154" s="1">
        <v>41162</v>
      </c>
      <c r="G154">
        <v>11125</v>
      </c>
      <c r="H154">
        <v>7786</v>
      </c>
      <c r="I154" s="1">
        <v>41162</v>
      </c>
      <c r="J154" t="s">
        <v>564</v>
      </c>
      <c r="K154" t="s">
        <v>563</v>
      </c>
      <c r="L154" t="s">
        <v>561</v>
      </c>
      <c r="M154" t="s">
        <v>1351</v>
      </c>
      <c r="N154" t="s">
        <v>20</v>
      </c>
      <c r="O154" t="s">
        <v>1350</v>
      </c>
      <c r="P154" t="s">
        <v>1349</v>
      </c>
      <c r="Q154" t="s">
        <v>1348</v>
      </c>
      <c r="R154" t="s">
        <v>1347</v>
      </c>
      <c r="S154" t="s">
        <v>1346</v>
      </c>
      <c r="T154" t="s">
        <v>1345</v>
      </c>
      <c r="U154" t="s">
        <v>1344</v>
      </c>
      <c r="V154" t="s">
        <v>1343</v>
      </c>
      <c r="W154" t="s">
        <v>1342</v>
      </c>
    </row>
    <row r="155" spans="1:23" x14ac:dyDescent="0.55000000000000004">
      <c r="A155">
        <v>202</v>
      </c>
      <c r="B155" t="s">
        <v>570</v>
      </c>
      <c r="C155" t="s">
        <v>566</v>
      </c>
      <c r="D155">
        <v>200</v>
      </c>
      <c r="E155" t="s">
        <v>1371</v>
      </c>
      <c r="F155" s="1">
        <v>41162</v>
      </c>
      <c r="G155">
        <v>12200</v>
      </c>
      <c r="H155">
        <v>8528</v>
      </c>
      <c r="I155" s="1">
        <v>41162</v>
      </c>
      <c r="J155" t="s">
        <v>572</v>
      </c>
      <c r="K155" t="s">
        <v>571</v>
      </c>
      <c r="L155" t="s">
        <v>569</v>
      </c>
      <c r="M155" t="s">
        <v>1351</v>
      </c>
      <c r="N155" t="s">
        <v>20</v>
      </c>
      <c r="O155" t="s">
        <v>1350</v>
      </c>
      <c r="P155" t="s">
        <v>1349</v>
      </c>
      <c r="Q155" t="s">
        <v>1348</v>
      </c>
      <c r="R155" t="s">
        <v>1347</v>
      </c>
      <c r="S155" t="s">
        <v>1346</v>
      </c>
      <c r="T155" t="s">
        <v>1345</v>
      </c>
      <c r="U155" t="s">
        <v>1344</v>
      </c>
      <c r="V155" t="s">
        <v>1343</v>
      </c>
      <c r="W155" t="s">
        <v>1342</v>
      </c>
    </row>
    <row r="156" spans="1:23" x14ac:dyDescent="0.55000000000000004">
      <c r="A156">
        <v>202</v>
      </c>
      <c r="B156" t="s">
        <v>578</v>
      </c>
      <c r="C156" t="s">
        <v>574</v>
      </c>
      <c r="D156">
        <v>200</v>
      </c>
      <c r="E156" t="s">
        <v>1370</v>
      </c>
      <c r="F156" s="1">
        <v>41162</v>
      </c>
      <c r="G156">
        <v>11922</v>
      </c>
      <c r="H156">
        <v>8358</v>
      </c>
      <c r="I156" s="1">
        <v>41162</v>
      </c>
      <c r="J156" t="s">
        <v>580</v>
      </c>
      <c r="K156" t="s">
        <v>579</v>
      </c>
      <c r="L156" t="s">
        <v>577</v>
      </c>
      <c r="M156" t="s">
        <v>1351</v>
      </c>
      <c r="N156" t="s">
        <v>20</v>
      </c>
      <c r="O156" t="s">
        <v>1350</v>
      </c>
      <c r="P156" t="s">
        <v>1349</v>
      </c>
      <c r="Q156" t="s">
        <v>1348</v>
      </c>
      <c r="R156" t="s">
        <v>1347</v>
      </c>
      <c r="S156" t="s">
        <v>1346</v>
      </c>
      <c r="T156" t="s">
        <v>1345</v>
      </c>
      <c r="U156" t="s">
        <v>1344</v>
      </c>
      <c r="V156" t="s">
        <v>1343</v>
      </c>
      <c r="W156" t="s">
        <v>1342</v>
      </c>
    </row>
    <row r="157" spans="1:23" x14ac:dyDescent="0.55000000000000004">
      <c r="A157">
        <v>202</v>
      </c>
      <c r="B157" t="s">
        <v>586</v>
      </c>
      <c r="C157" t="s">
        <v>582</v>
      </c>
      <c r="D157">
        <v>200</v>
      </c>
      <c r="E157" t="s">
        <v>1369</v>
      </c>
      <c r="F157" s="1">
        <v>41162</v>
      </c>
      <c r="G157">
        <v>10433</v>
      </c>
      <c r="H157">
        <v>7296</v>
      </c>
      <c r="I157" s="1">
        <v>41162</v>
      </c>
      <c r="J157" t="s">
        <v>588</v>
      </c>
      <c r="K157" t="s">
        <v>587</v>
      </c>
      <c r="L157" t="s">
        <v>585</v>
      </c>
      <c r="M157" t="s">
        <v>1351</v>
      </c>
      <c r="N157" t="s">
        <v>20</v>
      </c>
      <c r="O157" t="s">
        <v>1350</v>
      </c>
      <c r="P157" t="s">
        <v>1349</v>
      </c>
      <c r="Q157" t="s">
        <v>1348</v>
      </c>
      <c r="R157" t="s">
        <v>1347</v>
      </c>
      <c r="S157" t="s">
        <v>1346</v>
      </c>
      <c r="T157" t="s">
        <v>1345</v>
      </c>
      <c r="U157" t="s">
        <v>1344</v>
      </c>
      <c r="V157" t="s">
        <v>1343</v>
      </c>
      <c r="W157" t="s">
        <v>1342</v>
      </c>
    </row>
    <row r="158" spans="1:23" x14ac:dyDescent="0.55000000000000004">
      <c r="A158">
        <v>202</v>
      </c>
      <c r="B158" t="s">
        <v>594</v>
      </c>
      <c r="C158" t="s">
        <v>590</v>
      </c>
      <c r="D158">
        <v>200</v>
      </c>
      <c r="E158" t="s">
        <v>1368</v>
      </c>
      <c r="F158" s="1">
        <v>41162</v>
      </c>
      <c r="G158">
        <v>9583</v>
      </c>
      <c r="H158">
        <v>6771</v>
      </c>
      <c r="I158" s="1">
        <v>41162</v>
      </c>
      <c r="J158" t="s">
        <v>596</v>
      </c>
      <c r="K158" t="s">
        <v>595</v>
      </c>
      <c r="L158" t="s">
        <v>593</v>
      </c>
      <c r="M158" t="s">
        <v>1351</v>
      </c>
      <c r="N158" t="s">
        <v>20</v>
      </c>
      <c r="O158" t="s">
        <v>1350</v>
      </c>
      <c r="P158" t="s">
        <v>1349</v>
      </c>
      <c r="Q158" t="s">
        <v>1348</v>
      </c>
      <c r="R158" t="s">
        <v>1347</v>
      </c>
      <c r="S158" t="s">
        <v>1346</v>
      </c>
      <c r="T158" t="s">
        <v>1345</v>
      </c>
      <c r="U158" t="s">
        <v>1344</v>
      </c>
      <c r="V158" t="s">
        <v>1343</v>
      </c>
      <c r="W158" t="s">
        <v>1342</v>
      </c>
    </row>
    <row r="159" spans="1:23" x14ac:dyDescent="0.55000000000000004">
      <c r="A159">
        <v>202</v>
      </c>
      <c r="B159" t="s">
        <v>602</v>
      </c>
      <c r="C159" t="s">
        <v>598</v>
      </c>
      <c r="D159">
        <v>200</v>
      </c>
      <c r="E159" t="s">
        <v>1367</v>
      </c>
      <c r="F159" s="1">
        <v>41162</v>
      </c>
      <c r="G159">
        <v>12981</v>
      </c>
      <c r="H159">
        <v>9156</v>
      </c>
      <c r="I159" s="1">
        <v>41162</v>
      </c>
      <c r="J159" t="s">
        <v>604</v>
      </c>
      <c r="K159" t="s">
        <v>603</v>
      </c>
      <c r="L159" t="s">
        <v>601</v>
      </c>
      <c r="M159" t="s">
        <v>1351</v>
      </c>
      <c r="N159" t="s">
        <v>20</v>
      </c>
      <c r="O159" t="s">
        <v>1350</v>
      </c>
      <c r="P159" t="s">
        <v>1349</v>
      </c>
      <c r="Q159" t="s">
        <v>1348</v>
      </c>
      <c r="R159" t="s">
        <v>1347</v>
      </c>
      <c r="S159" t="s">
        <v>1346</v>
      </c>
      <c r="T159" t="s">
        <v>1345</v>
      </c>
      <c r="U159" t="s">
        <v>1344</v>
      </c>
      <c r="V159" t="s">
        <v>1343</v>
      </c>
      <c r="W159" t="s">
        <v>1342</v>
      </c>
    </row>
    <row r="160" spans="1:23" x14ac:dyDescent="0.55000000000000004">
      <c r="A160">
        <v>202</v>
      </c>
      <c r="B160" t="s">
        <v>610</v>
      </c>
      <c r="C160" t="s">
        <v>606</v>
      </c>
      <c r="D160">
        <v>200</v>
      </c>
      <c r="E160" t="s">
        <v>1366</v>
      </c>
      <c r="F160" s="1">
        <v>41162</v>
      </c>
      <c r="G160">
        <v>11607</v>
      </c>
      <c r="H160">
        <v>8194</v>
      </c>
      <c r="I160" s="1">
        <v>41162</v>
      </c>
      <c r="J160" t="s">
        <v>612</v>
      </c>
      <c r="K160" t="s">
        <v>611</v>
      </c>
      <c r="L160" t="s">
        <v>609</v>
      </c>
      <c r="M160" t="s">
        <v>1351</v>
      </c>
      <c r="N160" t="s">
        <v>20</v>
      </c>
      <c r="O160" t="s">
        <v>1350</v>
      </c>
      <c r="P160" t="s">
        <v>1349</v>
      </c>
      <c r="Q160" t="s">
        <v>1348</v>
      </c>
      <c r="R160" t="s">
        <v>1347</v>
      </c>
      <c r="S160" t="s">
        <v>1346</v>
      </c>
      <c r="T160" t="s">
        <v>1345</v>
      </c>
      <c r="U160" t="s">
        <v>1344</v>
      </c>
      <c r="V160" t="s">
        <v>1343</v>
      </c>
      <c r="W160" t="s">
        <v>1342</v>
      </c>
    </row>
    <row r="161" spans="1:23" x14ac:dyDescent="0.55000000000000004">
      <c r="A161">
        <v>202</v>
      </c>
      <c r="B161" t="s">
        <v>618</v>
      </c>
      <c r="C161" t="s">
        <v>614</v>
      </c>
      <c r="D161">
        <v>200</v>
      </c>
      <c r="E161" t="s">
        <v>1365</v>
      </c>
      <c r="F161" s="1">
        <v>41162</v>
      </c>
      <c r="G161">
        <v>12827</v>
      </c>
      <c r="H161">
        <v>9029</v>
      </c>
      <c r="I161" s="1">
        <v>41162</v>
      </c>
      <c r="J161" t="s">
        <v>620</v>
      </c>
      <c r="K161" t="s">
        <v>619</v>
      </c>
      <c r="L161" t="s">
        <v>617</v>
      </c>
      <c r="M161" t="s">
        <v>1351</v>
      </c>
      <c r="N161" t="s">
        <v>20</v>
      </c>
      <c r="O161" t="s">
        <v>1350</v>
      </c>
      <c r="P161" t="s">
        <v>1349</v>
      </c>
      <c r="Q161" t="s">
        <v>1348</v>
      </c>
      <c r="R161" t="s">
        <v>1347</v>
      </c>
      <c r="S161" t="s">
        <v>1346</v>
      </c>
      <c r="T161" t="s">
        <v>1345</v>
      </c>
      <c r="U161" t="s">
        <v>1344</v>
      </c>
      <c r="V161" t="s">
        <v>1343</v>
      </c>
      <c r="W161" t="s">
        <v>1342</v>
      </c>
    </row>
    <row r="162" spans="1:23" x14ac:dyDescent="0.55000000000000004">
      <c r="A162">
        <v>202</v>
      </c>
      <c r="B162" t="s">
        <v>626</v>
      </c>
      <c r="C162" t="s">
        <v>622</v>
      </c>
      <c r="D162">
        <v>200</v>
      </c>
      <c r="E162" t="s">
        <v>1364</v>
      </c>
      <c r="F162" s="1">
        <v>41162</v>
      </c>
      <c r="G162">
        <v>6501</v>
      </c>
      <c r="H162">
        <v>4497</v>
      </c>
      <c r="I162" s="1">
        <v>41162</v>
      </c>
      <c r="J162" t="s">
        <v>628</v>
      </c>
      <c r="K162" t="s">
        <v>627</v>
      </c>
      <c r="L162" t="s">
        <v>625</v>
      </c>
      <c r="M162" t="s">
        <v>1351</v>
      </c>
      <c r="N162" t="s">
        <v>20</v>
      </c>
      <c r="O162" t="s">
        <v>1350</v>
      </c>
      <c r="P162" t="s">
        <v>1349</v>
      </c>
      <c r="Q162" t="s">
        <v>1348</v>
      </c>
      <c r="R162" t="s">
        <v>1347</v>
      </c>
      <c r="S162" t="s">
        <v>1346</v>
      </c>
      <c r="T162" t="s">
        <v>1345</v>
      </c>
      <c r="U162" t="s">
        <v>1344</v>
      </c>
      <c r="V162" t="s">
        <v>1343</v>
      </c>
      <c r="W162" t="s">
        <v>1342</v>
      </c>
    </row>
    <row r="163" spans="1:23" x14ac:dyDescent="0.55000000000000004">
      <c r="A163">
        <v>202</v>
      </c>
      <c r="B163" t="s">
        <v>634</v>
      </c>
      <c r="C163" t="s">
        <v>630</v>
      </c>
      <c r="D163">
        <v>200</v>
      </c>
      <c r="E163" t="s">
        <v>1363</v>
      </c>
      <c r="F163" s="1">
        <v>41162</v>
      </c>
      <c r="G163">
        <v>6592</v>
      </c>
      <c r="H163">
        <v>4558</v>
      </c>
      <c r="I163" s="1">
        <v>41162</v>
      </c>
      <c r="J163" t="s">
        <v>636</v>
      </c>
      <c r="K163" t="s">
        <v>635</v>
      </c>
      <c r="L163" t="s">
        <v>633</v>
      </c>
      <c r="M163" t="s">
        <v>1351</v>
      </c>
      <c r="N163" t="s">
        <v>20</v>
      </c>
      <c r="O163" t="s">
        <v>1350</v>
      </c>
      <c r="P163" t="s">
        <v>1349</v>
      </c>
      <c r="Q163" t="s">
        <v>1348</v>
      </c>
      <c r="R163" t="s">
        <v>1347</v>
      </c>
      <c r="S163" t="s">
        <v>1346</v>
      </c>
      <c r="T163" t="s">
        <v>1345</v>
      </c>
      <c r="U163" t="s">
        <v>1344</v>
      </c>
      <c r="V163" t="s">
        <v>1343</v>
      </c>
      <c r="W163" t="s">
        <v>1342</v>
      </c>
    </row>
    <row r="164" spans="1:23" x14ac:dyDescent="0.55000000000000004">
      <c r="A164">
        <v>202</v>
      </c>
      <c r="B164" t="s">
        <v>642</v>
      </c>
      <c r="C164" t="s">
        <v>638</v>
      </c>
      <c r="D164">
        <v>200</v>
      </c>
      <c r="E164" t="s">
        <v>1362</v>
      </c>
      <c r="F164" s="1">
        <v>41162</v>
      </c>
      <c r="G164">
        <v>7907</v>
      </c>
      <c r="H164">
        <v>5467</v>
      </c>
      <c r="I164" s="1">
        <v>41162</v>
      </c>
      <c r="J164" t="s">
        <v>644</v>
      </c>
      <c r="K164" t="s">
        <v>643</v>
      </c>
      <c r="L164" t="s">
        <v>641</v>
      </c>
      <c r="M164" t="s">
        <v>1351</v>
      </c>
      <c r="N164" t="s">
        <v>20</v>
      </c>
      <c r="O164" t="s">
        <v>1350</v>
      </c>
      <c r="P164" t="s">
        <v>1349</v>
      </c>
      <c r="Q164" t="s">
        <v>1348</v>
      </c>
      <c r="R164" t="s">
        <v>1347</v>
      </c>
      <c r="S164" t="s">
        <v>1346</v>
      </c>
      <c r="T164" t="s">
        <v>1345</v>
      </c>
      <c r="U164" t="s">
        <v>1344</v>
      </c>
      <c r="V164" t="s">
        <v>1343</v>
      </c>
      <c r="W164" t="s">
        <v>1342</v>
      </c>
    </row>
    <row r="165" spans="1:23" x14ac:dyDescent="0.55000000000000004">
      <c r="A165">
        <v>202</v>
      </c>
      <c r="B165" t="s">
        <v>650</v>
      </c>
      <c r="C165" t="s">
        <v>646</v>
      </c>
      <c r="D165">
        <v>200</v>
      </c>
      <c r="E165" t="s">
        <v>1361</v>
      </c>
      <c r="F165" s="1">
        <v>41162</v>
      </c>
      <c r="G165">
        <v>6722</v>
      </c>
      <c r="H165">
        <v>4659</v>
      </c>
      <c r="I165" s="1">
        <v>41162</v>
      </c>
      <c r="J165" t="s">
        <v>652</v>
      </c>
      <c r="K165" t="s">
        <v>651</v>
      </c>
      <c r="L165" t="s">
        <v>649</v>
      </c>
      <c r="M165" t="s">
        <v>1351</v>
      </c>
      <c r="N165" t="s">
        <v>20</v>
      </c>
      <c r="O165" t="s">
        <v>1350</v>
      </c>
      <c r="P165" t="s">
        <v>1349</v>
      </c>
      <c r="Q165" t="s">
        <v>1348</v>
      </c>
      <c r="R165" t="s">
        <v>1347</v>
      </c>
      <c r="S165" t="s">
        <v>1346</v>
      </c>
      <c r="T165" t="s">
        <v>1345</v>
      </c>
      <c r="U165" t="s">
        <v>1344</v>
      </c>
      <c r="V165" t="s">
        <v>1343</v>
      </c>
      <c r="W165" t="s">
        <v>1342</v>
      </c>
    </row>
    <row r="166" spans="1:23" x14ac:dyDescent="0.55000000000000004">
      <c r="A166">
        <v>202</v>
      </c>
      <c r="B166" t="s">
        <v>658</v>
      </c>
      <c r="C166" t="s">
        <v>654</v>
      </c>
      <c r="D166">
        <v>200</v>
      </c>
      <c r="E166" t="s">
        <v>1360</v>
      </c>
      <c r="F166" s="1">
        <v>41162</v>
      </c>
      <c r="G166">
        <v>6699</v>
      </c>
      <c r="H166">
        <v>4639</v>
      </c>
      <c r="I166" s="1">
        <v>41162</v>
      </c>
      <c r="J166" t="s">
        <v>660</v>
      </c>
      <c r="K166" t="s">
        <v>659</v>
      </c>
      <c r="L166" t="s">
        <v>657</v>
      </c>
      <c r="M166" t="s">
        <v>1351</v>
      </c>
      <c r="N166" t="s">
        <v>20</v>
      </c>
      <c r="O166" t="s">
        <v>1350</v>
      </c>
      <c r="P166" t="s">
        <v>1349</v>
      </c>
      <c r="Q166" t="s">
        <v>1348</v>
      </c>
      <c r="R166" t="s">
        <v>1347</v>
      </c>
      <c r="S166" t="s">
        <v>1346</v>
      </c>
      <c r="T166" t="s">
        <v>1345</v>
      </c>
      <c r="U166" t="s">
        <v>1344</v>
      </c>
      <c r="V166" t="s">
        <v>1343</v>
      </c>
      <c r="W166" t="s">
        <v>1342</v>
      </c>
    </row>
    <row r="167" spans="1:23" x14ac:dyDescent="0.55000000000000004">
      <c r="A167">
        <v>202</v>
      </c>
      <c r="B167" t="s">
        <v>666</v>
      </c>
      <c r="C167" t="s">
        <v>662</v>
      </c>
      <c r="D167">
        <v>200</v>
      </c>
      <c r="E167" t="s">
        <v>1359</v>
      </c>
      <c r="F167" s="1">
        <v>41162</v>
      </c>
      <c r="G167">
        <v>7192</v>
      </c>
      <c r="H167">
        <v>4979</v>
      </c>
      <c r="I167" s="1">
        <v>41162</v>
      </c>
      <c r="J167" t="s">
        <v>668</v>
      </c>
      <c r="K167" t="s">
        <v>667</v>
      </c>
      <c r="L167" t="s">
        <v>665</v>
      </c>
      <c r="M167" t="s">
        <v>1351</v>
      </c>
      <c r="N167" t="s">
        <v>20</v>
      </c>
      <c r="O167" t="s">
        <v>1350</v>
      </c>
      <c r="P167" t="s">
        <v>1349</v>
      </c>
      <c r="Q167" t="s">
        <v>1348</v>
      </c>
      <c r="R167" t="s">
        <v>1347</v>
      </c>
      <c r="S167" t="s">
        <v>1346</v>
      </c>
      <c r="T167" t="s">
        <v>1345</v>
      </c>
      <c r="U167" t="s">
        <v>1344</v>
      </c>
      <c r="V167" t="s">
        <v>1343</v>
      </c>
      <c r="W167" t="s">
        <v>1342</v>
      </c>
    </row>
    <row r="168" spans="1:23" x14ac:dyDescent="0.55000000000000004">
      <c r="A168">
        <v>202</v>
      </c>
      <c r="B168" t="s">
        <v>674</v>
      </c>
      <c r="C168" t="s">
        <v>670</v>
      </c>
      <c r="D168">
        <v>200</v>
      </c>
      <c r="E168" t="s">
        <v>1358</v>
      </c>
      <c r="F168" s="1">
        <v>41162</v>
      </c>
      <c r="G168">
        <v>7052</v>
      </c>
      <c r="H168">
        <v>4887</v>
      </c>
      <c r="I168" s="1">
        <v>41162</v>
      </c>
      <c r="J168" t="s">
        <v>676</v>
      </c>
      <c r="K168" t="s">
        <v>675</v>
      </c>
      <c r="L168" t="s">
        <v>673</v>
      </c>
      <c r="M168" t="s">
        <v>1351</v>
      </c>
      <c r="N168" t="s">
        <v>20</v>
      </c>
      <c r="O168" t="s">
        <v>1350</v>
      </c>
      <c r="P168" t="s">
        <v>1349</v>
      </c>
      <c r="Q168" t="s">
        <v>1348</v>
      </c>
      <c r="R168" t="s">
        <v>1347</v>
      </c>
      <c r="S168" t="s">
        <v>1346</v>
      </c>
      <c r="T168" t="s">
        <v>1345</v>
      </c>
      <c r="U168" t="s">
        <v>1344</v>
      </c>
      <c r="V168" t="s">
        <v>1343</v>
      </c>
      <c r="W168" t="s">
        <v>1342</v>
      </c>
    </row>
    <row r="169" spans="1:23" x14ac:dyDescent="0.55000000000000004">
      <c r="A169">
        <v>202</v>
      </c>
      <c r="B169" t="s">
        <v>682</v>
      </c>
      <c r="C169" t="s">
        <v>678</v>
      </c>
      <c r="D169">
        <v>200</v>
      </c>
      <c r="E169" t="s">
        <v>1357</v>
      </c>
      <c r="F169" s="1">
        <v>41162</v>
      </c>
      <c r="G169">
        <v>6164</v>
      </c>
      <c r="H169">
        <v>4264</v>
      </c>
      <c r="I169" s="1">
        <v>41162</v>
      </c>
      <c r="J169" t="s">
        <v>684</v>
      </c>
      <c r="K169" t="s">
        <v>683</v>
      </c>
      <c r="L169" t="s">
        <v>681</v>
      </c>
      <c r="M169" t="s">
        <v>1351</v>
      </c>
      <c r="N169" t="s">
        <v>20</v>
      </c>
      <c r="O169" t="s">
        <v>1350</v>
      </c>
      <c r="P169" t="s">
        <v>1349</v>
      </c>
      <c r="Q169" t="s">
        <v>1348</v>
      </c>
      <c r="R169" t="s">
        <v>1347</v>
      </c>
      <c r="S169" t="s">
        <v>1346</v>
      </c>
      <c r="T169" t="s">
        <v>1345</v>
      </c>
      <c r="U169" t="s">
        <v>1344</v>
      </c>
      <c r="V169" t="s">
        <v>1343</v>
      </c>
      <c r="W169" t="s">
        <v>1342</v>
      </c>
    </row>
    <row r="170" spans="1:23" x14ac:dyDescent="0.55000000000000004">
      <c r="A170">
        <v>202</v>
      </c>
      <c r="B170" t="s">
        <v>690</v>
      </c>
      <c r="C170" t="s">
        <v>686</v>
      </c>
      <c r="D170">
        <v>200</v>
      </c>
      <c r="E170" t="s">
        <v>1356</v>
      </c>
      <c r="F170" s="1">
        <v>41162</v>
      </c>
      <c r="G170">
        <v>6167</v>
      </c>
      <c r="H170">
        <v>4263</v>
      </c>
      <c r="I170" s="1">
        <v>41162</v>
      </c>
      <c r="J170" t="s">
        <v>692</v>
      </c>
      <c r="K170" t="s">
        <v>691</v>
      </c>
      <c r="L170" t="s">
        <v>689</v>
      </c>
      <c r="M170" t="s">
        <v>1351</v>
      </c>
      <c r="N170" t="s">
        <v>20</v>
      </c>
      <c r="O170" t="s">
        <v>1350</v>
      </c>
      <c r="P170" t="s">
        <v>1349</v>
      </c>
      <c r="Q170" t="s">
        <v>1348</v>
      </c>
      <c r="R170" t="s">
        <v>1347</v>
      </c>
      <c r="S170" t="s">
        <v>1346</v>
      </c>
      <c r="T170" t="s">
        <v>1345</v>
      </c>
      <c r="U170" t="s">
        <v>1344</v>
      </c>
      <c r="V170" t="s">
        <v>1343</v>
      </c>
      <c r="W170" t="s">
        <v>1342</v>
      </c>
    </row>
    <row r="171" spans="1:23" x14ac:dyDescent="0.55000000000000004">
      <c r="A171">
        <v>202</v>
      </c>
      <c r="B171" t="s">
        <v>698</v>
      </c>
      <c r="C171" t="s">
        <v>694</v>
      </c>
      <c r="D171">
        <v>200</v>
      </c>
      <c r="E171" t="s">
        <v>1355</v>
      </c>
      <c r="F171" s="1">
        <v>41162</v>
      </c>
      <c r="G171">
        <v>6875</v>
      </c>
      <c r="H171">
        <v>4776</v>
      </c>
      <c r="I171" s="1">
        <v>41162</v>
      </c>
      <c r="J171" t="s">
        <v>700</v>
      </c>
      <c r="K171" t="s">
        <v>699</v>
      </c>
      <c r="L171" t="s">
        <v>697</v>
      </c>
      <c r="M171" t="s">
        <v>1351</v>
      </c>
      <c r="N171" t="s">
        <v>20</v>
      </c>
      <c r="O171" t="s">
        <v>1350</v>
      </c>
      <c r="P171" t="s">
        <v>1349</v>
      </c>
      <c r="Q171" t="s">
        <v>1348</v>
      </c>
      <c r="R171" t="s">
        <v>1347</v>
      </c>
      <c r="S171" t="s">
        <v>1346</v>
      </c>
      <c r="T171" t="s">
        <v>1345</v>
      </c>
      <c r="U171" t="s">
        <v>1344</v>
      </c>
      <c r="V171" t="s">
        <v>1343</v>
      </c>
      <c r="W171" t="s">
        <v>1342</v>
      </c>
    </row>
    <row r="172" spans="1:23" x14ac:dyDescent="0.55000000000000004">
      <c r="A172">
        <v>202</v>
      </c>
      <c r="B172" t="s">
        <v>706</v>
      </c>
      <c r="C172" t="s">
        <v>702</v>
      </c>
      <c r="D172">
        <v>200</v>
      </c>
      <c r="E172" t="s">
        <v>1354</v>
      </c>
      <c r="F172" s="1">
        <v>41162</v>
      </c>
      <c r="G172">
        <v>6774</v>
      </c>
      <c r="H172">
        <v>4696</v>
      </c>
      <c r="I172" s="1">
        <v>41162</v>
      </c>
      <c r="J172" t="s">
        <v>708</v>
      </c>
      <c r="K172" t="s">
        <v>707</v>
      </c>
      <c r="L172" t="s">
        <v>705</v>
      </c>
      <c r="M172" t="s">
        <v>1351</v>
      </c>
      <c r="N172" t="s">
        <v>20</v>
      </c>
      <c r="O172" t="s">
        <v>1350</v>
      </c>
      <c r="P172" t="s">
        <v>1349</v>
      </c>
      <c r="Q172" t="s">
        <v>1348</v>
      </c>
      <c r="R172" t="s">
        <v>1347</v>
      </c>
      <c r="S172" t="s">
        <v>1346</v>
      </c>
      <c r="T172" t="s">
        <v>1345</v>
      </c>
      <c r="U172" t="s">
        <v>1344</v>
      </c>
      <c r="V172" t="s">
        <v>1343</v>
      </c>
      <c r="W172" t="s">
        <v>1342</v>
      </c>
    </row>
    <row r="173" spans="1:23" x14ac:dyDescent="0.55000000000000004">
      <c r="A173">
        <v>202</v>
      </c>
      <c r="B173" t="s">
        <v>714</v>
      </c>
      <c r="C173" t="s">
        <v>710</v>
      </c>
      <c r="D173">
        <v>200</v>
      </c>
      <c r="E173" t="s">
        <v>1353</v>
      </c>
      <c r="F173" s="1">
        <v>41162</v>
      </c>
      <c r="G173">
        <v>7441</v>
      </c>
      <c r="H173">
        <v>5147</v>
      </c>
      <c r="I173" s="1">
        <v>41162</v>
      </c>
      <c r="J173" t="s">
        <v>716</v>
      </c>
      <c r="K173" t="s">
        <v>715</v>
      </c>
      <c r="L173" t="s">
        <v>713</v>
      </c>
      <c r="M173" t="s">
        <v>1351</v>
      </c>
      <c r="N173" t="s">
        <v>20</v>
      </c>
      <c r="O173" t="s">
        <v>1350</v>
      </c>
      <c r="P173" t="s">
        <v>1349</v>
      </c>
      <c r="Q173" t="s">
        <v>1348</v>
      </c>
      <c r="R173" t="s">
        <v>1347</v>
      </c>
      <c r="S173" t="s">
        <v>1346</v>
      </c>
      <c r="T173" t="s">
        <v>1345</v>
      </c>
      <c r="U173" t="s">
        <v>1344</v>
      </c>
      <c r="V173" t="s">
        <v>1343</v>
      </c>
      <c r="W173" t="s">
        <v>1342</v>
      </c>
    </row>
    <row r="174" spans="1:23" x14ac:dyDescent="0.55000000000000004">
      <c r="A174">
        <v>202</v>
      </c>
      <c r="B174" t="s">
        <v>722</v>
      </c>
      <c r="C174" t="s">
        <v>718</v>
      </c>
      <c r="D174">
        <v>200</v>
      </c>
      <c r="E174" t="s">
        <v>1352</v>
      </c>
      <c r="F174" s="1">
        <v>41162</v>
      </c>
      <c r="G174">
        <v>6379</v>
      </c>
      <c r="H174">
        <v>4331</v>
      </c>
      <c r="I174" s="1">
        <v>41162</v>
      </c>
      <c r="J174" t="s">
        <v>724</v>
      </c>
      <c r="K174" t="s">
        <v>723</v>
      </c>
      <c r="L174" t="s">
        <v>721</v>
      </c>
      <c r="M174" t="s">
        <v>1351</v>
      </c>
      <c r="N174" t="s">
        <v>20</v>
      </c>
      <c r="O174" t="s">
        <v>1350</v>
      </c>
      <c r="P174" t="s">
        <v>1349</v>
      </c>
      <c r="Q174" t="s">
        <v>1348</v>
      </c>
      <c r="R174" t="s">
        <v>1347</v>
      </c>
      <c r="S174" t="s">
        <v>1346</v>
      </c>
      <c r="T174" t="s">
        <v>1345</v>
      </c>
      <c r="U174" t="s">
        <v>1344</v>
      </c>
      <c r="V174" t="s">
        <v>1343</v>
      </c>
      <c r="W174" t="s">
        <v>1342</v>
      </c>
    </row>
    <row r="176" spans="1:23" x14ac:dyDescent="0.55000000000000004">
      <c r="A176" s="2" t="s">
        <v>1555</v>
      </c>
    </row>
  </sheetData>
  <hyperlinks>
    <hyperlink ref="A176" r:id="rId1" xr:uid="{00000000-0004-0000-02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Backup_v02</vt:lpstr>
      <vt:lpstr>Github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White</dc:creator>
  <cp:lastModifiedBy>Jessica White</cp:lastModifiedBy>
  <dcterms:created xsi:type="dcterms:W3CDTF">2020-04-02T14:34:53Z</dcterms:created>
  <dcterms:modified xsi:type="dcterms:W3CDTF">2020-04-14T06:03:37Z</dcterms:modified>
</cp:coreProperties>
</file>